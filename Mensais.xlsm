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h5\Desktop\geradorDeRecibo\"/>
    </mc:Choice>
  </mc:AlternateContent>
  <xr:revisionPtr revIDLastSave="0" documentId="13_ncr:1_{1177615A-0E74-4E63-B500-9FB4079AD69A}" xr6:coauthVersionLast="47" xr6:coauthVersionMax="47" xr10:uidLastSave="{00000000-0000-0000-0000-000000000000}"/>
  <bookViews>
    <workbookView xWindow="840" yWindow="-120" windowWidth="19770" windowHeight="11760" xr2:uid="{9D0565C5-B237-42D4-92A1-010F9A5786CE}"/>
  </bookViews>
  <sheets>
    <sheet name="Planilha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6" i="1" l="1"/>
  <c r="G3" i="1"/>
  <c r="G5" i="1"/>
  <c r="G2" i="1"/>
  <c r="H2" i="1" l="1"/>
  <c r="I2" i="1" s="1"/>
  <c r="H3" i="1"/>
  <c r="I3" i="1" s="1"/>
  <c r="J3" i="1"/>
  <c r="J2" i="1"/>
  <c r="H5" i="1" l="1"/>
  <c r="I5" i="1" s="1"/>
  <c r="H4" i="1"/>
  <c r="I4" i="1" s="1"/>
  <c r="H6" i="1"/>
  <c r="I6" i="1" s="1"/>
  <c r="F2" i="1"/>
  <c r="J5" i="1"/>
  <c r="J4" i="1"/>
  <c r="J6" i="1"/>
  <c r="F3" i="1" l="1"/>
  <c r="F6" i="1"/>
  <c r="F4" i="1"/>
  <c r="F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Rh5</author>
  </authors>
  <commentList>
    <comment ref="A1" authorId="0" shapeId="0" xr:uid="{65508FFA-034F-4151-84D4-B11A6F65B5C1}">
      <text>
        <r>
          <rPr>
            <b/>
            <sz val="9"/>
            <color indexed="81"/>
            <rFont val="Segoe UI"/>
            <charset val="1"/>
          </rPr>
          <t>Rh5:</t>
        </r>
        <r>
          <rPr>
            <sz val="9"/>
            <color indexed="81"/>
            <rFont val="Segoe UI"/>
            <charset val="1"/>
          </rPr>
          <t xml:space="preserve">
Nome da empresa
</t>
        </r>
      </text>
    </comment>
    <comment ref="B1" authorId="0" shapeId="0" xr:uid="{94019DB7-062B-4CAF-947F-A43475BACFF6}">
      <text>
        <r>
          <rPr>
            <b/>
            <sz val="9"/>
            <color indexed="81"/>
            <rFont val="Segoe UI"/>
            <charset val="1"/>
          </rPr>
          <t>Rh5:</t>
        </r>
        <r>
          <rPr>
            <sz val="9"/>
            <color indexed="81"/>
            <rFont val="Segoe UI"/>
            <charset val="1"/>
          </rPr>
          <t xml:space="preserve">
CNPJ para empresa</t>
        </r>
      </text>
    </comment>
    <comment ref="C1" authorId="0" shapeId="0" xr:uid="{CE563353-462A-4F19-8754-3C98E22A85D3}">
      <text>
        <r>
          <rPr>
            <b/>
            <sz val="9"/>
            <color indexed="81"/>
            <rFont val="Segoe UI"/>
            <family val="2"/>
          </rPr>
          <t>Rh5:</t>
        </r>
        <r>
          <rPr>
            <sz val="9"/>
            <color indexed="81"/>
            <rFont val="Segoe UI"/>
            <family val="2"/>
          </rPr>
          <t xml:space="preserve">
Nome do colaborador</t>
        </r>
      </text>
    </comment>
    <comment ref="D1" authorId="0" shapeId="0" xr:uid="{81B7DFA1-A610-413D-B478-863D6069BBCC}">
      <text>
        <r>
          <rPr>
            <b/>
            <sz val="9"/>
            <color indexed="81"/>
            <rFont val="Segoe UI"/>
            <family val="2"/>
          </rPr>
          <t>Rh5:</t>
        </r>
        <r>
          <rPr>
            <sz val="9"/>
            <color indexed="81"/>
            <rFont val="Segoe UI"/>
            <family val="2"/>
          </rPr>
          <t xml:space="preserve">
Dias da semana que trabalha sendo:
1= Domingo
2= Segubda
3= Terça
4 = Quarta
5 = Quinta
6= Sexta
7= Sabado</t>
        </r>
      </text>
    </comment>
    <comment ref="E1" authorId="0" shapeId="0" xr:uid="{E936990A-8317-4DC8-9519-E6C2B07E97A7}">
      <text>
        <r>
          <rPr>
            <b/>
            <sz val="9"/>
            <color indexed="81"/>
            <rFont val="Segoe UI"/>
            <family val="2"/>
          </rPr>
          <t>Rh5:</t>
        </r>
        <r>
          <rPr>
            <sz val="9"/>
            <color indexed="81"/>
            <rFont val="Segoe UI"/>
            <family val="2"/>
          </rPr>
          <t xml:space="preserve">
Valor da Diaria</t>
        </r>
      </text>
    </comment>
    <comment ref="F1" authorId="0" shapeId="0" xr:uid="{355B62BF-6139-4DF8-AA99-A17A0F7C926E}">
      <text>
        <r>
          <rPr>
            <b/>
            <sz val="9"/>
            <color indexed="81"/>
            <rFont val="Segoe UI"/>
            <family val="2"/>
          </rPr>
          <t>Rh5:</t>
        </r>
        <r>
          <rPr>
            <sz val="9"/>
            <color indexed="81"/>
            <rFont val="Segoe UI"/>
            <family val="2"/>
          </rPr>
          <t xml:space="preserve">
Todas as datas que o colaborador trabalhará, valor importado automaticamente da palhanilha Matriz</t>
        </r>
      </text>
    </comment>
    <comment ref="G1" authorId="0" shapeId="0" xr:uid="{1E1713EC-B45F-4846-B12C-2B9B809543C4}">
      <text>
        <r>
          <rPr>
            <b/>
            <sz val="9"/>
            <color indexed="81"/>
            <rFont val="Segoe UI"/>
            <family val="2"/>
          </rPr>
          <t>Rh5:</t>
        </r>
        <r>
          <rPr>
            <sz val="9"/>
            <color indexed="81"/>
            <rFont val="Segoe UI"/>
            <family val="2"/>
          </rPr>
          <t xml:space="preserve">
Data de pagamento</t>
        </r>
      </text>
    </comment>
    <comment ref="H1" authorId="0" shapeId="0" xr:uid="{BD071C99-A2E2-4CC8-B04C-DD6CEA00EBE3}">
      <text>
        <r>
          <rPr>
            <b/>
            <sz val="9"/>
            <color indexed="81"/>
            <rFont val="Segoe UI"/>
            <family val="2"/>
          </rPr>
          <t>Rh5:</t>
        </r>
        <r>
          <rPr>
            <sz val="9"/>
            <color indexed="81"/>
            <rFont val="Segoe UI"/>
            <family val="2"/>
          </rPr>
          <t xml:space="preserve">
Quantidade total de diarias dentro do mês.</t>
        </r>
      </text>
    </comment>
    <comment ref="I1" authorId="0" shapeId="0" xr:uid="{91FA1BCF-0F4B-4847-9FC1-C23DB4D4B896}">
      <text>
        <r>
          <rPr>
            <b/>
            <sz val="9"/>
            <color indexed="81"/>
            <rFont val="Segoe UI"/>
            <family val="2"/>
          </rPr>
          <t>Rh5:</t>
        </r>
        <r>
          <rPr>
            <sz val="9"/>
            <color indexed="81"/>
            <rFont val="Segoe UI"/>
            <family val="2"/>
          </rPr>
          <t xml:space="preserve">
Valor total dos serviços</t>
        </r>
      </text>
    </comment>
    <comment ref="J1" authorId="0" shapeId="0" xr:uid="{E94D40B0-042F-4AD9-AFEC-36DD7BE35406}">
      <text>
        <r>
          <rPr>
            <b/>
            <sz val="9"/>
            <color indexed="81"/>
            <rFont val="Segoe UI"/>
            <family val="2"/>
          </rPr>
          <t>Rh5:</t>
        </r>
        <r>
          <rPr>
            <sz val="9"/>
            <color indexed="81"/>
            <rFont val="Segoe UI"/>
            <family val="2"/>
          </rPr>
          <t xml:space="preserve">
Valor total dos serviços por extenso</t>
        </r>
      </text>
    </comment>
  </commentList>
</comments>
</file>

<file path=xl/sharedStrings.xml><?xml version="1.0" encoding="utf-8"?>
<sst xmlns="http://schemas.openxmlformats.org/spreadsheetml/2006/main" count="25" uniqueCount="21">
  <si>
    <t>Nome</t>
  </si>
  <si>
    <t>Trabalha</t>
  </si>
  <si>
    <t>Valor</t>
  </si>
  <si>
    <t>DiasMes</t>
  </si>
  <si>
    <t>Qnt Dia</t>
  </si>
  <si>
    <t>Valor Final</t>
  </si>
  <si>
    <t>Valor Extenso</t>
  </si>
  <si>
    <t>Condominio</t>
  </si>
  <si>
    <t>CNPJ</t>
  </si>
  <si>
    <t>Pagamento</t>
  </si>
  <si>
    <t>Girasol</t>
  </si>
  <si>
    <t>Ype</t>
  </si>
  <si>
    <t>Flamboyant</t>
  </si>
  <si>
    <t>Rosa</t>
  </si>
  <si>
    <t>Tulipa</t>
  </si>
  <si>
    <t>12.254.256/0001-99</t>
  </si>
  <si>
    <t>Maria</t>
  </si>
  <si>
    <t>João</t>
  </si>
  <si>
    <t>José</t>
  </si>
  <si>
    <t>Ribeiro</t>
  </si>
  <si>
    <t>Esmeralda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</si>
</sst>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rgb="FF000000"/>
      <name val="Calibri Light"/>
      <family val="2"/>
      <scheme val="maj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9" fontId="0" fillId="0" borderId="0" xfId="0" applyNumberFormat="1"/>
    <xf numFmtId="44" fontId="0" fillId="0" borderId="0" xfId="1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triz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2"/>
      <sheetName val="Domingo"/>
      <sheetName val="Segunda"/>
      <sheetName val="Terca"/>
      <sheetName val="Quarta"/>
      <sheetName val="Quinta"/>
      <sheetName val="Sexta"/>
      <sheetName val="Sabado"/>
    </sheetNames>
    <sheetDataSet>
      <sheetData sheetId="0">
        <row r="1">
          <cell r="F1" t="str">
            <v>de abril de 2021</v>
          </cell>
          <cell r="I1" t="str">
            <v>de fevereiro de 2022</v>
          </cell>
          <cell r="N1" t="str">
            <v>,</v>
          </cell>
        </row>
        <row r="4">
          <cell r="G4" t="str">
            <v/>
          </cell>
          <cell r="I4" t="str">
            <v/>
          </cell>
          <cell r="J4" t="str">
            <v>01/04/2021</v>
          </cell>
          <cell r="K4" t="str">
            <v>02/04/2021</v>
          </cell>
        </row>
        <row r="5">
          <cell r="G5" t="str">
            <v>05/04/2021</v>
          </cell>
          <cell r="I5" t="str">
            <v>07/04/2021</v>
          </cell>
          <cell r="J5" t="str">
            <v>08/04/2021</v>
          </cell>
          <cell r="K5" t="str">
            <v>09/04/2021</v>
          </cell>
        </row>
        <row r="6">
          <cell r="G6" t="str">
            <v>12/04/2021</v>
          </cell>
          <cell r="I6" t="str">
            <v>14/04/2021</v>
          </cell>
          <cell r="J6" t="str">
            <v>15/04/2021</v>
          </cell>
          <cell r="K6" t="str">
            <v>16/04/2021</v>
          </cell>
        </row>
        <row r="7">
          <cell r="G7" t="str">
            <v>19/04/2021</v>
          </cell>
          <cell r="I7" t="str">
            <v>21/04/2021</v>
          </cell>
          <cell r="J7" t="str">
            <v>22/04/2021</v>
          </cell>
          <cell r="K7" t="str">
            <v>23/04/2021</v>
          </cell>
        </row>
        <row r="8">
          <cell r="G8" t="str">
            <v>26/04/2021</v>
          </cell>
          <cell r="I8" t="str">
            <v>28/04/2021</v>
          </cell>
          <cell r="J8" t="str">
            <v>29/04/2021</v>
          </cell>
          <cell r="K8" t="str">
            <v>30/04/2021</v>
          </cell>
        </row>
        <row r="9">
          <cell r="G9" t="str">
            <v/>
          </cell>
          <cell r="I9" t="str">
            <v/>
          </cell>
          <cell r="J9" t="str">
            <v/>
          </cell>
          <cell r="K9" t="str">
            <v/>
          </cell>
        </row>
        <row r="12">
          <cell r="G12">
            <v>4</v>
          </cell>
          <cell r="I12">
            <v>4</v>
          </cell>
          <cell r="K12">
            <v>5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8AD6D-77EA-4A1B-A3B5-0B9A881AD719}">
  <sheetPr codeName="Planilha1"/>
  <dimension ref="A1:J6"/>
  <sheetViews>
    <sheetView tabSelected="1" workbookViewId="0">
      <selection activeCell="F2" sqref="F2"/>
    </sheetView>
  </sheetViews>
  <sheetFormatPr defaultRowHeight="15" x14ac:dyDescent="0.25"/>
  <cols>
    <col min="1" max="1" width="34" bestFit="1" customWidth="1"/>
    <col min="2" max="2" width="19.7109375" bestFit="1" customWidth="1"/>
    <col min="3" max="3" width="36" bestFit="1" customWidth="1"/>
    <col min="5" max="5" width="10.5703125" bestFit="1" customWidth="1"/>
    <col min="6" max="6" width="97.140625" bestFit="1" customWidth="1"/>
    <col min="7" max="7" width="16.42578125" bestFit="1" customWidth="1"/>
    <col min="9" max="9" width="12.140625" bestFit="1" customWidth="1"/>
    <col min="10" max="10" width="41.28515625" customWidth="1"/>
  </cols>
  <sheetData>
    <row r="1" spans="1:10" x14ac:dyDescent="0.25">
      <c r="A1" t="s">
        <v>7</v>
      </c>
      <c r="B1" t="s">
        <v>8</v>
      </c>
      <c r="C1" t="s">
        <v>0</v>
      </c>
      <c r="D1" t="s">
        <v>1</v>
      </c>
      <c r="E1" t="s">
        <v>2</v>
      </c>
      <c r="F1" t="s">
        <v>3</v>
      </c>
      <c r="G1" t="s">
        <v>9</v>
      </c>
      <c r="H1" t="s">
        <v>4</v>
      </c>
      <c r="I1" t="s">
        <v>5</v>
      </c>
      <c r="J1" t="s">
        <v>6</v>
      </c>
    </row>
    <row r="2" spans="1:10" x14ac:dyDescent="0.25">
      <c r="A2" s="3" t="s">
        <v>10</v>
      </c>
      <c r="B2" s="3" t="s">
        <v>15</v>
      </c>
      <c r="C2" s="4" t="s">
        <v>16</v>
      </c>
      <c r="D2">
        <v>6</v>
      </c>
      <c r="E2" s="9">
        <v>150</v>
      </c>
      <c r="F2" t="str">
        <f>_xlfn.CONCAT([1]Planilha2!$K$4,[1]Planilha2!$N$1,[1]Planilha2!$K$5,[1]Planilha2!$N$1,[1]Planilha2!$K$6,[1]Planilha2!$N$1,[1]Planilha2!$K$7,[1]Planilha2!$N$1,[1]Planilha2!$K$8,[1]Planilha2!$N$1,[1]Planilha2!$K$9)</f>
        <v>02/04/2021,09/04/2021,16/04/2021,23/04/2021,30/04/2021,</v>
      </c>
      <c r="G2" t="str">
        <f>[1]Planilha2!$F$1</f>
        <v>de abril de 2021</v>
      </c>
      <c r="H2">
        <f>[1]Planilha2!$K$12</f>
        <v>5</v>
      </c>
      <c r="I2" s="9">
        <f>H2*E2</f>
        <v>750</v>
      </c>
      <c r="J2" t="str">
        <f>ConverterParaExtenso(I2)</f>
        <v>setecentos e cinquenta reais</v>
      </c>
    </row>
    <row r="3" spans="1:10" x14ac:dyDescent="0.25">
      <c r="A3" s="2" t="s">
        <v>11</v>
      </c>
      <c r="B3" s="3" t="s">
        <v>15</v>
      </c>
      <c r="C3" s="5" t="s">
        <v>17</v>
      </c>
      <c r="D3">
        <v>2.5</v>
      </c>
      <c r="E3" s="9">
        <v>140</v>
      </c>
      <c r="F3" t="str">
        <f>_xlfn.CONCAT(IF(COUNTBLANK([1]Planilha2!$G$4)=0,_xlfn.CONCAT([1]Planilha2!$G$4,[1]Planilha2!$N$1),""),_xlfn.CONCAT(IF(COUNTBLANK([1]Planilha2!$J$4)=0,_xlfn.CONCAT([1]Planilha2!$J$4,[1]Planilha2!$N$1),"")),[1]Planilha2!$G$5,[1]Planilha2!$N$1,[1]Planilha2!$J$5,[1]Planilha2!$N$1,[1]Planilha2!$G$6,[1]Planilha2!$N$1,[1]Planilha2!$J$6,[1]Planilha2!$N$1,[1]Planilha2!$G$7,[1]Planilha2!$N$1,[1]Planilha2!$J$7,[1]Planilha2!$N$1,[1]Planilha2!$G$8,[1]Planilha2!$N$1,[1]Planilha2!$J$8,[1]Planilha2!$N$1,IF(COUNTBLANK([1]Planilha2!$G$9)=0,_xlfn.CONCAT([1]Planilha2!$G$9,[1]Planilha2!$N$1),""),IF(COUNTBLANK([1]Planilha2!$J$9)=0,[1]Planilha2!$J$9,""))</f>
        <v>01/04/2021,05/04/2021,08/04/2021,12/04/2021,15/04/2021,19/04/2021,22/04/2021,26/04/2021,29/04/2021,</v>
      </c>
      <c r="G3" t="str">
        <f>[1]Planilha2!$F$1</f>
        <v>de abril de 2021</v>
      </c>
      <c r="H3">
        <f>[1]Planilha2!$G$12+[1]Planilha2!$I$12</f>
        <v>8</v>
      </c>
      <c r="I3" s="9">
        <f t="shared" ref="I3:I6" si="0">H3*E3</f>
        <v>1120</v>
      </c>
      <c r="J3" t="str">
        <f>ConverterParaExtenso(I3)</f>
        <v>um mil  e cento e vinte reais</v>
      </c>
    </row>
    <row r="4" spans="1:10" x14ac:dyDescent="0.25">
      <c r="A4" s="1" t="s">
        <v>12</v>
      </c>
      <c r="B4" s="3" t="s">
        <v>15</v>
      </c>
      <c r="C4" s="6" t="s">
        <v>18</v>
      </c>
      <c r="D4">
        <v>4</v>
      </c>
      <c r="E4" s="9">
        <v>149.9</v>
      </c>
      <c r="F4" t="str">
        <f>_xlfn.CONCAT(IF(COUNTBLANK([1]Planilha2!$I$4)=0,_xlfn.CONCAT([1]Planilha2!$I$4,[1]Planilha2!$N$1),),[1]Planilha2!$I$5,[1]Planilha2!$N$1,[1]Planilha2!$I$6,[1]Planilha2!$N$1,[1]Planilha2!$I$7,IF(COUNTBLANK([1]Planilha2!$I$8)=0,_xlfn.CONCAT([1]Planilha2!$N$1,[1]Planilha2!$I$8,)))</f>
        <v>07/04/2021,14/04/2021,21/04/2021,28/04/2021</v>
      </c>
      <c r="G4" t="str">
        <f>[1]Planilha2!$I$1</f>
        <v>de fevereiro de 2022</v>
      </c>
      <c r="H4">
        <f>[1]Planilha2!$I$12</f>
        <v>4</v>
      </c>
      <c r="I4" s="9">
        <f t="shared" si="0"/>
        <v>599.6</v>
      </c>
      <c r="J4" s="8" t="str">
        <f>ConverterParaExtenso(I4)</f>
        <v>quinhentos e noventa e nove reais e sessenta centavos</v>
      </c>
    </row>
    <row r="5" spans="1:10" x14ac:dyDescent="0.25">
      <c r="A5" s="1" t="s">
        <v>13</v>
      </c>
      <c r="B5" s="3" t="s">
        <v>15</v>
      </c>
      <c r="C5" s="6" t="s">
        <v>19</v>
      </c>
      <c r="D5">
        <v>4</v>
      </c>
      <c r="E5" s="9">
        <v>155</v>
      </c>
      <c r="F5" t="str">
        <f>_xlfn.CONCAT(IF(COUNTBLANK([1]Planilha2!$I$4)=0,_xlfn.CONCAT([1]Planilha2!$I$4),),[1]Planilha2!$I$5,",",[1]Planilha2!$I$6,",",[1]Planilha2!$I$7,",",[1]Planilha2!$I$8,",",[1]Planilha2!$I$9)</f>
        <v>07/04/2021,14/04/2021,21/04/2021,28/04/2021,</v>
      </c>
      <c r="G5" t="str">
        <f>[1]Planilha2!$F$1</f>
        <v>de abril de 2021</v>
      </c>
      <c r="H5">
        <f>[1]Planilha2!$I$12</f>
        <v>4</v>
      </c>
      <c r="I5" s="9">
        <f t="shared" si="0"/>
        <v>620</v>
      </c>
      <c r="J5" t="str">
        <f>ConverterParaExtenso(I5)</f>
        <v>seiscentos e vinte reais</v>
      </c>
    </row>
    <row r="6" spans="1:10" x14ac:dyDescent="0.25">
      <c r="A6" s="3" t="s">
        <v>14</v>
      </c>
      <c r="B6" s="3" t="s">
        <v>15</v>
      </c>
      <c r="C6" s="7" t="s">
        <v>20</v>
      </c>
      <c r="D6">
        <v>4</v>
      </c>
      <c r="E6" s="9">
        <v>180</v>
      </c>
      <c r="F6" t="str">
        <f>_xlfn.CONCAT(IF(COUNTBLANK([1]Planilha2!$I$4)=0,_xlfn.CONCAT([1]Planilha2!$I$4),),[1]Planilha2!$I$5,",",[1]Planilha2!$I$6,",",[1]Planilha2!$I$7,",",[1]Planilha2!$I$8,",",[1]Planilha2!$I$9)</f>
        <v>07/04/2021,14/04/2021,21/04/2021,28/04/2021,</v>
      </c>
      <c r="G6" t="str">
        <f>[1]Planilha2!$F$1</f>
        <v>de abril de 2021</v>
      </c>
      <c r="H6">
        <f>[1]Planilha2!$I$12</f>
        <v>4</v>
      </c>
      <c r="I6" s="9">
        <f t="shared" si="0"/>
        <v>720</v>
      </c>
      <c r="J6" t="str">
        <f>ConverterParaExtenso(I6)</f>
        <v>setecentos e vinte reais</v>
      </c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Rh5</dc:creator>
  <cp:lastModifiedBy>Rh5</cp:lastModifiedBy>
  <dcterms:created xsi:type="dcterms:W3CDTF">2021-05-27T13:44:02Z</dcterms:created>
  <dcterms:modified xsi:type="dcterms:W3CDTF">2022-01-07T19:21:33Z</dcterms:modified>
</cp:coreProperties>
</file>