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6DBD517-2EFD-4FDC-91D8-BFE8FE4D9F22}" xr6:coauthVersionLast="47" xr6:coauthVersionMax="47" xr10:uidLastSave="{00000000-0000-0000-0000-000000000000}"/>
  <bookViews>
    <workbookView xWindow="810" yWindow="-120" windowWidth="28110" windowHeight="16440" activeTab="2" xr2:uid="{208DBF5D-B5AF-43C3-A658-D8041BCD0FFA}"/>
  </bookViews>
  <sheets>
    <sheet name="Verbas" sheetId="2" r:id="rId1"/>
    <sheet name="Relatorio" sheetId="1" r:id="rId2"/>
    <sheet name="importação" sheetId="3" r:id="rId3"/>
  </sheets>
  <definedNames>
    <definedName name="_xlnm.Print_Area" localSheetId="1">Relatorio!$A$1:$G$56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H2" i="1"/>
  <c r="H3" i="1" s="1"/>
  <c r="H4" i="1" s="1"/>
  <c r="H5" i="1" s="1"/>
  <c r="H6" i="1" s="1"/>
  <c r="H7" i="1" s="1"/>
  <c r="H8" i="1" s="1"/>
  <c r="H9" i="1" s="1"/>
  <c r="H10" i="1" s="1"/>
  <c r="H11" i="1" s="1"/>
  <c r="H12" i="1" s="1"/>
  <c r="H13" i="1" s="1"/>
  <c r="G12" i="2" l="1"/>
  <c r="A15" i="1" s="1"/>
  <c r="F12" i="2"/>
  <c r="E12" i="2"/>
  <c r="D12" i="2"/>
  <c r="C12" i="2"/>
  <c r="B12" i="2"/>
  <c r="G17" i="1"/>
  <c r="C17" i="1"/>
  <c r="A17" i="1"/>
  <c r="C16" i="1"/>
  <c r="A16" i="1"/>
  <c r="B14" i="1"/>
  <c r="B12" i="1"/>
  <c r="E13" i="2"/>
  <c r="E11" i="2"/>
  <c r="E10" i="2"/>
  <c r="E9" i="2"/>
  <c r="E8" i="2"/>
  <c r="E7" i="2"/>
  <c r="F16" i="1" l="1"/>
  <c r="G16" i="1" l="1"/>
  <c r="E6" i="2"/>
  <c r="F13" i="2" l="1"/>
  <c r="F11" i="2"/>
  <c r="F10" i="2"/>
  <c r="F9" i="2"/>
  <c r="F8" i="2"/>
  <c r="F7" i="2"/>
  <c r="D13" i="2"/>
  <c r="D11" i="2"/>
  <c r="D10" i="2"/>
  <c r="D9" i="2"/>
  <c r="D8" i="2"/>
  <c r="D7" i="2"/>
  <c r="C13" i="2"/>
  <c r="C11" i="2"/>
  <c r="C10" i="2"/>
  <c r="C9" i="2"/>
  <c r="C8" i="2"/>
  <c r="C7" i="2"/>
  <c r="F6" i="2"/>
  <c r="D6" i="2"/>
  <c r="C6" i="2"/>
  <c r="B13" i="2"/>
  <c r="B11" i="2"/>
  <c r="B10" i="2"/>
  <c r="B9" i="2"/>
  <c r="B8" i="2"/>
  <c r="B7" i="2"/>
  <c r="G6" i="2"/>
  <c r="B6" i="2"/>
  <c r="G13" i="2"/>
  <c r="G11" i="2"/>
  <c r="A14" i="1" s="1"/>
  <c r="G10" i="2"/>
  <c r="A13" i="1" s="1"/>
  <c r="G9" i="2"/>
  <c r="A12" i="1" s="1"/>
  <c r="G8" i="2"/>
  <c r="G7" i="2"/>
  <c r="A10" i="1" s="1"/>
  <c r="C10" i="1" s="1"/>
  <c r="B4" i="2"/>
  <c r="D4" i="1" s="1"/>
  <c r="B3" i="2"/>
  <c r="D3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B2" i="2"/>
  <c r="L2" i="1" l="1"/>
  <c r="E15" i="1"/>
  <c r="D15" i="1"/>
  <c r="G15" i="1"/>
  <c r="C15" i="1"/>
  <c r="F15" i="1"/>
  <c r="B15" i="1"/>
  <c r="A18" i="1"/>
  <c r="F18" i="1" s="1"/>
  <c r="A11" i="1"/>
  <c r="C11" i="1" s="1"/>
  <c r="D10" i="1"/>
  <c r="B10" i="1"/>
  <c r="E10" i="1"/>
  <c r="F10" i="1"/>
  <c r="F13" i="1"/>
  <c r="D13" i="1"/>
  <c r="B13" i="1"/>
  <c r="C13" i="1"/>
  <c r="E13" i="1"/>
  <c r="A8" i="1"/>
  <c r="B18" i="1" l="1"/>
  <c r="C18" i="1"/>
  <c r="D18" i="1"/>
  <c r="E18" i="1"/>
  <c r="G18" i="1" s="1"/>
  <c r="B11" i="1"/>
  <c r="C12" i="1" s="1"/>
  <c r="G10" i="1"/>
  <c r="E11" i="1"/>
  <c r="F11" i="1"/>
  <c r="D11" i="1"/>
  <c r="F14" i="1"/>
  <c r="D14" i="1"/>
  <c r="G13" i="1"/>
  <c r="E14" i="1"/>
  <c r="C14" i="1"/>
  <c r="E8" i="1"/>
  <c r="C8" i="1"/>
  <c r="F8" i="1"/>
  <c r="B8" i="1"/>
  <c r="E12" i="1" l="1"/>
  <c r="D12" i="1"/>
  <c r="F12" i="1"/>
  <c r="G11" i="1"/>
  <c r="G14" i="1"/>
  <c r="G8" i="1"/>
  <c r="A1" i="1"/>
  <c r="A2" i="1"/>
  <c r="G12" i="1" l="1"/>
  <c r="A9" i="1"/>
  <c r="B9" i="1" s="1"/>
  <c r="C9" i="1" l="1"/>
  <c r="D9" i="1"/>
  <c r="D5" i="1"/>
  <c r="L3" i="1" s="1"/>
  <c r="F9" i="1"/>
  <c r="E9" i="1"/>
  <c r="B24" i="1" s="1"/>
  <c r="B25" i="1" l="1"/>
  <c r="G9" i="1"/>
  <c r="G19" i="1" s="1"/>
  <c r="B23" i="1"/>
  <c r="B26" i="1" l="1"/>
</calcChain>
</file>

<file path=xl/sharedStrings.xml><?xml version="1.0" encoding="utf-8"?>
<sst xmlns="http://schemas.openxmlformats.org/spreadsheetml/2006/main" count="70" uniqueCount="49">
  <si>
    <t>Nome</t>
  </si>
  <si>
    <t>Pág:1/1</t>
  </si>
  <si>
    <t>Total</t>
  </si>
  <si>
    <t>Condominio</t>
  </si>
  <si>
    <t>Provisão de Rescisão - 11/09/2021</t>
  </si>
  <si>
    <r>
      <t>Data aviso prévio:</t>
    </r>
    <r>
      <rPr>
        <sz val="8"/>
        <color indexed="8"/>
        <rFont val="Arial"/>
        <family val="2"/>
      </rPr>
      <t xml:space="preserve"> 02/09/2021</t>
    </r>
  </si>
  <si>
    <r>
      <t>Data rescisão:</t>
    </r>
    <r>
      <rPr>
        <sz val="8"/>
        <color indexed="8"/>
        <rFont val="Arial"/>
        <family val="2"/>
      </rPr>
      <t xml:space="preserve"> 02/09/2021</t>
    </r>
  </si>
  <si>
    <t>Provisão</t>
  </si>
  <si>
    <t>Médias</t>
  </si>
  <si>
    <t>Dias/Avos</t>
  </si>
  <si>
    <t>Valor</t>
  </si>
  <si>
    <t>INSS</t>
  </si>
  <si>
    <t>FGTS</t>
  </si>
  <si>
    <t>PIS</t>
  </si>
  <si>
    <t>Aviso Prévio</t>
  </si>
  <si>
    <t>Saldo de Salário</t>
  </si>
  <si>
    <t>13º Salário</t>
  </si>
  <si>
    <t>13º Salário Indenizado</t>
  </si>
  <si>
    <t>Férias Proporcionais</t>
  </si>
  <si>
    <t>Férias Indenizadas</t>
  </si>
  <si>
    <t>Saldo FGTS (retido na CEF)</t>
  </si>
  <si>
    <t>Custo Demissão - Funcionário</t>
  </si>
  <si>
    <t>Admissão</t>
  </si>
  <si>
    <t>Demissão</t>
  </si>
  <si>
    <t>Verba</t>
  </si>
  <si>
    <t>Referencia</t>
  </si>
  <si>
    <t xml:space="preserve">Data de admissão:  </t>
  </si>
  <si>
    <t xml:space="preserve">Data do desligamento:  </t>
  </si>
  <si>
    <t xml:space="preserve">Projeção do aviso previo:  </t>
  </si>
  <si>
    <t>Aviso previo CCT?</t>
  </si>
  <si>
    <t>13º Indenizado- Avos</t>
  </si>
  <si>
    <t>Férias Indenizadas- Avos</t>
  </si>
  <si>
    <t>Premio por aposentadoria</t>
  </si>
  <si>
    <t>sim</t>
  </si>
  <si>
    <t>Impostos</t>
  </si>
  <si>
    <t>FGTS + Multa 40%</t>
  </si>
  <si>
    <t>Remunerações</t>
  </si>
  <si>
    <t>Divisões de valores</t>
  </si>
  <si>
    <t>Cesta Basica</t>
  </si>
  <si>
    <t>Férias Vencidas</t>
  </si>
  <si>
    <t>16/08/2021 15:37:44</t>
  </si>
  <si>
    <r>
      <t>Data admissão:</t>
    </r>
    <r>
      <rPr>
        <sz val="8"/>
        <color indexed="8"/>
        <rFont val="Arial"/>
        <family val="2"/>
      </rPr>
      <t xml:space="preserve"> 01/03/2001</t>
    </r>
  </si>
  <si>
    <r>
      <t xml:space="preserve">Salário: </t>
    </r>
    <r>
      <rPr>
        <sz val="8"/>
        <color indexed="8"/>
        <rFont val="Arial"/>
        <family val="2"/>
      </rPr>
      <t>1.622,27</t>
    </r>
  </si>
  <si>
    <t>Conf.Férias</t>
  </si>
  <si>
    <t>Conf. 13º</t>
  </si>
  <si>
    <t>Sim</t>
  </si>
  <si>
    <t>CONDOMINIO EDIFICIO A</t>
  </si>
  <si>
    <r>
      <t xml:space="preserve">Funcionário: </t>
    </r>
    <r>
      <rPr>
        <sz val="8"/>
        <color indexed="8"/>
        <rFont val="Arial"/>
        <family val="2"/>
      </rPr>
      <t>4 - Igor Couto</t>
    </r>
  </si>
  <si>
    <t>12.123.123/0001-12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</si>
</sst>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Calibri"/>
      <family val="2"/>
      <scheme val="minor"/>
    </font>
    <font>
      <sz val="8"/>
      <color indexed="8"/>
      <name val="ARIAL"/>
      <charset val="1"/>
    </font>
    <font>
      <sz val="11"/>
      <color theme="1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6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top"/>
    </xf>
    <xf numFmtId="0" fontId="3" fillId="0" borderId="0" xfId="0" applyFont="1" applyAlignment="1">
      <alignment horizontal="left" vertical="top" wrapText="1" readingOrder="1"/>
    </xf>
    <xf numFmtId="0" fontId="7" fillId="0" borderId="0" xfId="0" applyFont="1"/>
    <xf numFmtId="2" fontId="7" fillId="0" borderId="0" xfId="0" applyNumberFormat="1" applyFont="1"/>
    <xf numFmtId="0" fontId="6" fillId="0" borderId="1" xfId="0" applyFont="1" applyBorder="1" applyAlignment="1" applyProtection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 wrapText="1" readingOrder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" fontId="7" fillId="0" borderId="8" xfId="1" applyNumberFormat="1" applyFont="1" applyBorder="1" applyAlignment="1">
      <alignment horizontal="center" vertical="center"/>
    </xf>
    <xf numFmtId="44" fontId="7" fillId="0" borderId="8" xfId="1" applyFont="1" applyBorder="1" applyAlignment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44" fontId="7" fillId="0" borderId="8" xfId="1" applyFont="1" applyBorder="1" applyAlignment="1" applyProtection="1">
      <alignment horizontal="center" vertical="center"/>
    </xf>
    <xf numFmtId="0" fontId="6" fillId="2" borderId="8" xfId="0" applyFont="1" applyFill="1" applyBorder="1" applyAlignment="1" applyProtection="1">
      <alignment horizontal="center" vertical="center"/>
    </xf>
    <xf numFmtId="44" fontId="7" fillId="0" borderId="8" xfId="1" applyFont="1" applyBorder="1" applyAlignment="1">
      <alignment horizontal="center" vertical="center"/>
    </xf>
    <xf numFmtId="0" fontId="6" fillId="0" borderId="0" xfId="0" applyFont="1"/>
    <xf numFmtId="0" fontId="6" fillId="0" borderId="1" xfId="0" applyFont="1" applyBorder="1"/>
    <xf numFmtId="44" fontId="7" fillId="0" borderId="2" xfId="0" applyNumberFormat="1" applyFont="1" applyBorder="1" applyAlignment="1">
      <alignment horizontal="center"/>
    </xf>
    <xf numFmtId="44" fontId="6" fillId="2" borderId="8" xfId="1" applyFont="1" applyFill="1" applyBorder="1" applyAlignment="1">
      <alignment horizontal="left" vertical="center"/>
    </xf>
    <xf numFmtId="0" fontId="6" fillId="2" borderId="3" xfId="0" applyFont="1" applyFill="1" applyBorder="1"/>
    <xf numFmtId="44" fontId="6" fillId="2" borderId="4" xfId="0" applyNumberFormat="1" applyFont="1" applyFill="1" applyBorder="1" applyAlignment="1">
      <alignment horizontal="center"/>
    </xf>
    <xf numFmtId="0" fontId="6" fillId="0" borderId="0" xfId="0" applyFont="1" applyProtection="1">
      <protection locked="0"/>
    </xf>
    <xf numFmtId="4" fontId="3" fillId="0" borderId="0" xfId="0" applyNumberFormat="1" applyFont="1" applyAlignment="1">
      <alignment horizontal="right" vertical="top"/>
    </xf>
    <xf numFmtId="0" fontId="3" fillId="0" borderId="0" xfId="0" applyFont="1" applyAlignment="1">
      <alignment horizontal="left" vertical="top" wrapText="1" readingOrder="1"/>
    </xf>
    <xf numFmtId="0" fontId="3" fillId="0" borderId="0" xfId="0" applyFont="1" applyAlignment="1">
      <alignment horizontal="center" vertical="top" wrapText="1" readingOrder="1"/>
    </xf>
    <xf numFmtId="0" fontId="6" fillId="2" borderId="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8" fillId="4" borderId="0" xfId="0" applyFont="1" applyFill="1" applyAlignment="1">
      <alignment horizontal="center"/>
    </xf>
    <xf numFmtId="0" fontId="9" fillId="0" borderId="0" xfId="0" applyNumberFormat="1" applyFont="1" applyAlignment="1">
      <alignment horizontal="center"/>
    </xf>
    <xf numFmtId="0" fontId="9" fillId="4" borderId="0" xfId="0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14" fontId="6" fillId="3" borderId="8" xfId="0" applyNumberFormat="1" applyFont="1" applyFill="1" applyBorder="1" applyAlignment="1">
      <alignment horizontal="center" vertical="center"/>
    </xf>
    <xf numFmtId="4" fontId="3" fillId="0" borderId="0" xfId="0" applyNumberFormat="1" applyFont="1" applyAlignment="1">
      <alignment horizontal="right" vertical="top"/>
    </xf>
    <xf numFmtId="0" fontId="3" fillId="0" borderId="0" xfId="0" applyFont="1" applyAlignment="1">
      <alignment horizontal="left" vertical="top"/>
    </xf>
    <xf numFmtId="4" fontId="3" fillId="0" borderId="0" xfId="0" applyNumberFormat="1" applyFont="1" applyAlignment="1">
      <alignment horizontal="center" vertical="top"/>
    </xf>
    <xf numFmtId="0" fontId="1" fillId="0" borderId="0" xfId="0" applyFont="1" applyAlignment="1">
      <alignment horizontal="left" vertical="top"/>
    </xf>
    <xf numFmtId="4" fontId="4" fillId="0" borderId="0" xfId="0" applyNumberFormat="1" applyFont="1" applyAlignment="1">
      <alignment horizontal="right" vertical="top"/>
    </xf>
    <xf numFmtId="0" fontId="3" fillId="0" borderId="0" xfId="0" applyFont="1" applyAlignment="1">
      <alignment horizontal="left" vertical="top" wrapText="1" readingOrder="1"/>
    </xf>
    <xf numFmtId="0" fontId="3" fillId="0" borderId="0" xfId="0" applyFont="1" applyAlignment="1">
      <alignment horizontal="right" vertical="top"/>
    </xf>
    <xf numFmtId="0" fontId="4" fillId="0" borderId="0" xfId="0" applyFont="1" applyAlignment="1">
      <alignment horizontal="center" vertical="top" wrapText="1" readingOrder="1"/>
    </xf>
    <xf numFmtId="0" fontId="4" fillId="0" borderId="0" xfId="0" applyFont="1" applyAlignment="1">
      <alignment horizontal="left" vertical="top" wrapText="1" readingOrder="1"/>
    </xf>
    <xf numFmtId="0" fontId="3" fillId="0" borderId="0" xfId="0" applyFont="1" applyAlignment="1">
      <alignment horizontal="center" vertical="top" wrapText="1" readingOrder="1"/>
    </xf>
  </cellXfs>
  <cellStyles count="2">
    <cellStyle name="Moeda" xfId="1" builtinId="4"/>
    <cellStyle name="Normal" xfId="0" builtinId="0"/>
  </cellStyles>
  <dxfs count="17">
    <dxf>
      <fill>
        <patternFill>
          <bgColor theme="7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6DCF2"/>
      <color rgb="FF7EB8FE"/>
      <color rgb="FF222286"/>
      <color rgb="FF3333CC"/>
      <color rgb="FF245D90"/>
      <color rgb="FF7EB0DE"/>
      <color rgb="FFEAF2FA"/>
      <color rgb="FF6059E9"/>
      <color rgb="FF00CC00"/>
      <color rgb="FF54CC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480212706838757E-3"/>
          <c:y val="0"/>
          <c:w val="0.97273129551331239"/>
          <c:h val="0.88056014709858954"/>
        </c:manualLayout>
      </c:layout>
      <c:ofPieChart>
        <c:ofPieType val="bar"/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gapWidth val="13"/>
        <c:splitType val="pos"/>
        <c:splitPos val="4"/>
        <c:secondPieSize val="91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7981294541455126E-2"/>
          <c:y val="0.79270209667135771"/>
          <c:w val="0.73498655703209237"/>
          <c:h val="0.197959044410829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2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effectLst>
              <a:outerShdw blurRad="381000" dist="19050" dir="11880000" sx="105000" sy="105000" algn="ctr" rotWithShape="0">
                <a:srgbClr val="000000">
                  <a:alpha val="3000"/>
                </a:srgb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381000" dist="19050" dir="11880000" sx="105000" sy="105000" algn="ctr" rotWithShape="0">
                  <a:srgbClr val="000000">
                    <a:alpha val="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29D-443E-8700-0725C3C57054}"/>
              </c:ext>
            </c:extLst>
          </c:dPt>
          <c:dPt>
            <c:idx val="1"/>
            <c:bubble3D val="0"/>
            <c:spPr>
              <a:solidFill>
                <a:srgbClr val="C6DCF2"/>
              </a:solidFill>
              <a:ln>
                <a:noFill/>
              </a:ln>
              <a:effectLst>
                <a:outerShdw blurRad="381000" dist="19050" dir="11880000" sx="105000" sy="105000" algn="ctr" rotWithShape="0">
                  <a:srgbClr val="000000">
                    <a:alpha val="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29D-443E-8700-0725C3C57054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381000" dist="19050" dir="11880000" sx="105000" sy="105000" algn="ctr" rotWithShape="0">
                  <a:srgbClr val="000000">
                    <a:alpha val="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29D-443E-8700-0725C3C57054}"/>
              </c:ext>
            </c:extLst>
          </c:dPt>
          <c:dLbls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9D-443E-8700-0725C3C570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Relatorio!$A$23:$A$25</c:f>
              <c:strCache>
                <c:ptCount val="3"/>
                <c:pt idx="0">
                  <c:v>Remunerações</c:v>
                </c:pt>
                <c:pt idx="1">
                  <c:v>FGTS + Multa 40%</c:v>
                </c:pt>
                <c:pt idx="2">
                  <c:v>Impostos</c:v>
                </c:pt>
              </c:strCache>
            </c:strRef>
          </c:cat>
          <c:val>
            <c:numRef>
              <c:f>Relatorio!$B$23:$B$25</c:f>
              <c:numCache>
                <c:formatCode>_("R$"* #,##0.00_);_("R$"* \(#,##0.00\);_("R$"* "-"??_);_(@_)</c:formatCode>
                <c:ptCount val="3"/>
                <c:pt idx="0">
                  <c:v>17850.154999999999</c:v>
                </c:pt>
                <c:pt idx="1">
                  <c:v>24911.766590399999</c:v>
                </c:pt>
                <c:pt idx="2">
                  <c:v>722.70492600000011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D-443E-8700-0725C3C57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17</xdr:row>
          <xdr:rowOff>0</xdr:rowOff>
        </xdr:from>
        <xdr:to>
          <xdr:col>12</xdr:col>
          <xdr:colOff>76200</xdr:colOff>
          <xdr:row>20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2166</xdr:colOff>
      <xdr:row>20</xdr:row>
      <xdr:rowOff>103475</xdr:rowOff>
    </xdr:from>
    <xdr:to>
      <xdr:col>15</xdr:col>
      <xdr:colOff>36801</xdr:colOff>
      <xdr:row>52</xdr:row>
      <xdr:rowOff>242454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238125</xdr:rowOff>
        </xdr:from>
        <xdr:to>
          <xdr:col>13</xdr:col>
          <xdr:colOff>552450</xdr:colOff>
          <xdr:row>12</xdr:row>
          <xdr:rowOff>133350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fechamento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779318</xdr:colOff>
      <xdr:row>29</xdr:row>
      <xdr:rowOff>67235</xdr:rowOff>
    </xdr:from>
    <xdr:to>
      <xdr:col>6</xdr:col>
      <xdr:colOff>1815353</xdr:colOff>
      <xdr:row>52</xdr:row>
      <xdr:rowOff>149752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3490B-AD89-4E8A-99A9-BBCB2C263212}">
  <sheetPr codeName="Planilha2"/>
  <dimension ref="A1:G113"/>
  <sheetViews>
    <sheetView zoomScaleNormal="100" workbookViewId="0">
      <selection activeCell="B2" sqref="B2"/>
    </sheetView>
  </sheetViews>
  <sheetFormatPr defaultRowHeight="15" x14ac:dyDescent="0.25"/>
  <cols>
    <col min="1" max="1" width="24.7109375" customWidth="1"/>
    <col min="2" max="2" width="38.28515625" bestFit="1" customWidth="1"/>
    <col min="5" max="5" width="9" bestFit="1" customWidth="1"/>
    <col min="7" max="7" width="10" bestFit="1" customWidth="1"/>
    <col min="10" max="10" width="7.28515625" customWidth="1"/>
  </cols>
  <sheetData>
    <row r="1" spans="1:7" x14ac:dyDescent="0.25">
      <c r="A1" t="s">
        <v>3</v>
      </c>
      <c r="B1" t="str">
        <f>importação!B2</f>
        <v>CONDOMINIO EDIFICIO A</v>
      </c>
    </row>
    <row r="2" spans="1:7" x14ac:dyDescent="0.25">
      <c r="A2" t="s">
        <v>0</v>
      </c>
      <c r="B2" t="str">
        <f>importação!C7</f>
        <v>Funcionário: 4 - Igor Couto</v>
      </c>
    </row>
    <row r="3" spans="1:7" x14ac:dyDescent="0.25">
      <c r="A3" t="s">
        <v>22</v>
      </c>
      <c r="B3" t="str">
        <f>importação!C8</f>
        <v>Data admissão: 01/03/2001</v>
      </c>
    </row>
    <row r="4" spans="1:7" x14ac:dyDescent="0.25">
      <c r="A4" t="s">
        <v>23</v>
      </c>
      <c r="B4" t="str">
        <f>importação!C9</f>
        <v>Data aviso prévio: 02/09/2021</v>
      </c>
    </row>
    <row r="5" spans="1:7" x14ac:dyDescent="0.25">
      <c r="A5" t="s">
        <v>24</v>
      </c>
      <c r="B5" t="s">
        <v>25</v>
      </c>
      <c r="C5" t="s">
        <v>10</v>
      </c>
      <c r="D5" t="s">
        <v>11</v>
      </c>
      <c r="E5" t="s">
        <v>12</v>
      </c>
      <c r="F5" t="s">
        <v>13</v>
      </c>
      <c r="G5" t="s">
        <v>2</v>
      </c>
    </row>
    <row r="6" spans="1:7" x14ac:dyDescent="0.25">
      <c r="A6" t="s">
        <v>14</v>
      </c>
      <c r="B6" s="9">
        <f>VLOOKUP(A6,importação!$C$12:$L$30,9,0)</f>
        <v>90</v>
      </c>
      <c r="C6" s="9">
        <f>VLOOKUP(A6,importação!$C$12:$N$30,12,0)</f>
        <v>8306.25</v>
      </c>
      <c r="D6" s="9">
        <f>VLOOKUP(A6,importação!$C$12:$P$30,14,0)</f>
        <v>2118.0936999999999</v>
      </c>
      <c r="E6" s="9">
        <f>VLOOKUP(A6,importação!$C$12:$S$30,17,0)</f>
        <v>930.3</v>
      </c>
      <c r="F6" s="9">
        <f>VLOOKUP(A6,importação!$C$12:$V$30,20,0)</f>
        <v>83.0625</v>
      </c>
      <c r="G6" s="9">
        <f>VLOOKUP(A6,importação!$C$12:$Z$30,23,0)</f>
        <v>11437.706200000001</v>
      </c>
    </row>
    <row r="7" spans="1:7" x14ac:dyDescent="0.25">
      <c r="A7" t="s">
        <v>15</v>
      </c>
      <c r="B7" s="9">
        <f>VLOOKUP(A7,importação!$C$12:$L$30,9,0)</f>
        <v>2</v>
      </c>
      <c r="C7" s="9">
        <f>VLOOKUP(A7,importação!$C$12:$N$30,12,0)</f>
        <v>108.15</v>
      </c>
      <c r="D7" s="9">
        <f>VLOOKUP(A7,importação!$C$12:$P$30,14,0)</f>
        <v>27.578200000000002</v>
      </c>
      <c r="E7" s="9">
        <f>VLOOKUP(A7,importação!$C$12:$S$30,17,0)</f>
        <v>12.1128</v>
      </c>
      <c r="F7" s="9">
        <f>VLOOKUP(A7,importação!$C$12:$V$30,20,0)</f>
        <v>1.0815000000000001</v>
      </c>
      <c r="G7" s="9">
        <f>VLOOKUP(A7,importação!$C$12:$Z$30,23,0)</f>
        <v>148.92250000000001</v>
      </c>
    </row>
    <row r="8" spans="1:7" x14ac:dyDescent="0.25">
      <c r="A8" t="s">
        <v>16</v>
      </c>
      <c r="B8" s="9">
        <f>VLOOKUP(A8,importação!$C$12:$L$30,9,0)</f>
        <v>8</v>
      </c>
      <c r="C8" s="9">
        <f>VLOOKUP(A8,importação!$C$12:$N$30,12,0)</f>
        <v>1913.4267000000002</v>
      </c>
      <c r="D8" s="9">
        <f>VLOOKUP(A8,importação!$C$12:$P$30,14,0)</f>
        <v>487.92379999999997</v>
      </c>
      <c r="E8" s="9">
        <f>VLOOKUP(A8,importação!$C$12:$S$30,17,0)</f>
        <v>214.30369999999999</v>
      </c>
      <c r="F8" s="9">
        <f>VLOOKUP(A8,importação!$C$12:$V$30,20,0)</f>
        <v>19.1342</v>
      </c>
      <c r="G8" s="9">
        <f>VLOOKUP(A8,importação!$C$12:$Z$30,23,0)</f>
        <v>2634.7884000000004</v>
      </c>
    </row>
    <row r="9" spans="1:7" x14ac:dyDescent="0.25">
      <c r="A9" t="s">
        <v>17</v>
      </c>
      <c r="B9" s="9">
        <f>VLOOKUP(A9,importação!$C$12:$L$30,9,0)</f>
        <v>3</v>
      </c>
      <c r="C9" s="9">
        <f>VLOOKUP(A9,importação!$C$12:$N$30,12,0)</f>
        <v>717.53499999999997</v>
      </c>
      <c r="D9" s="9">
        <f>VLOOKUP(A9,importação!$C$12:$P$30,14,0)</f>
        <v>0</v>
      </c>
      <c r="E9" s="9">
        <f>VLOOKUP(A9,importação!$C$12:$S$30,17,0)</f>
        <v>26.7879</v>
      </c>
      <c r="F9" s="9">
        <f>VLOOKUP(A9,importação!$C$12:$V$30,20,0)</f>
        <v>2.3916999999999997</v>
      </c>
      <c r="G9" s="9">
        <f>VLOOKUP(A9,importação!$C$12:$Z$30,23,0)</f>
        <v>746.71460000000002</v>
      </c>
    </row>
    <row r="10" spans="1:7" x14ac:dyDescent="0.25">
      <c r="A10" s="2" t="s">
        <v>18</v>
      </c>
      <c r="B10" s="10">
        <f>VLOOKUP(A10,importação!$C$12:$L$30,9,0)</f>
        <v>6</v>
      </c>
      <c r="C10" s="9">
        <f>VLOOKUP(A10,importação!$C$12:$N$30,12,0)</f>
        <v>1899.7</v>
      </c>
      <c r="D10" s="9">
        <f>VLOOKUP(A10,importação!$C$12:$P$30,14,0)</f>
        <v>0</v>
      </c>
      <c r="E10" s="9">
        <f>VLOOKUP(A10,importação!$C$12:$S$30,17,0)</f>
        <v>0</v>
      </c>
      <c r="F10" s="9">
        <f>VLOOKUP(A10,importação!$C$12:$V$30,20,0)</f>
        <v>18.997</v>
      </c>
      <c r="G10" s="9">
        <f>VLOOKUP(A10,importação!$C$12:$Z$30,23,0)</f>
        <v>1918.6970000000001</v>
      </c>
    </row>
    <row r="11" spans="1:7" x14ac:dyDescent="0.25">
      <c r="A11" t="s">
        <v>19</v>
      </c>
      <c r="B11" s="9">
        <f>VLOOKUP(A11,importação!$C$12:$L$30,9,0)</f>
        <v>3</v>
      </c>
      <c r="C11" s="9">
        <f>VLOOKUP(A11,importação!$C$12:$N$30,12,0)</f>
        <v>621.87</v>
      </c>
      <c r="D11" s="9">
        <f>VLOOKUP(A11,importação!$C$12:$P$30,14,0)</f>
        <v>0</v>
      </c>
      <c r="E11" s="9">
        <f>VLOOKUP(A11,importação!$C$12:$S$30,17,0)</f>
        <v>0</v>
      </c>
      <c r="F11" s="9">
        <f>VLOOKUP(A11,importação!$C$12:$V$30,20,0)</f>
        <v>6.2187000000000001</v>
      </c>
      <c r="G11" s="9">
        <f>VLOOKUP(A11,importação!$C$12:$Z$30,23,0)</f>
        <v>628.08870000000002</v>
      </c>
    </row>
    <row r="12" spans="1:7" x14ac:dyDescent="0.25">
      <c r="A12" t="s">
        <v>39</v>
      </c>
      <c r="B12" s="9">
        <f>VLOOKUP(A12,importação!$C$12:$L$30,9,0)</f>
        <v>12</v>
      </c>
      <c r="C12" s="9">
        <f>VLOOKUP(A12,importação!$C$12:$N$30,12,0)</f>
        <v>4238.2533000000003</v>
      </c>
      <c r="D12" s="9">
        <f>VLOOKUP(A12,importação!$C$12:$P$30,14,0)</f>
        <v>0</v>
      </c>
      <c r="E12" s="9">
        <f>VLOOKUP(A12,importação!$C$12:$S$30,17,0)</f>
        <v>0</v>
      </c>
      <c r="F12" s="9">
        <f>VLOOKUP(A12,importação!$C$12:$V$30,20,0)</f>
        <v>42.3825</v>
      </c>
      <c r="G12" s="9">
        <f>VLOOKUP(A12,importação!$C$12:$Z$30,23,0)</f>
        <v>4280.6358</v>
      </c>
    </row>
    <row r="13" spans="1:7" x14ac:dyDescent="0.25">
      <c r="A13" t="s">
        <v>20</v>
      </c>
      <c r="B13" s="9">
        <f>VLOOKUP(A13,importação!$C$12:$L$30,9,0)</f>
        <v>0</v>
      </c>
      <c r="C13" s="9">
        <f>VLOOKUP(A13,importação!$C$12:$N$30,12,0)</f>
        <v>59000</v>
      </c>
      <c r="D13" s="9">
        <f>VLOOKUP(A13,importação!$C$12:$P$30,14,0)</f>
        <v>0</v>
      </c>
      <c r="E13" s="9">
        <f>VLOOKUP(A13,importação!$C$12:$S$30,17,0)</f>
        <v>23600</v>
      </c>
      <c r="F13" s="9">
        <f>VLOOKUP(A13,importação!$C$12:$V$30,20,0)</f>
        <v>0</v>
      </c>
      <c r="G13" s="9">
        <f>VLOOKUP(A13,importação!$C$12:$Z$30,23,0)</f>
        <v>23600</v>
      </c>
    </row>
    <row r="14" spans="1:7" x14ac:dyDescent="0.25">
      <c r="B14" s="9"/>
      <c r="C14" s="9"/>
      <c r="D14" s="9"/>
      <c r="E14" s="9"/>
      <c r="F14" s="9"/>
    </row>
    <row r="15" spans="1:7" x14ac:dyDescent="0.25">
      <c r="B15" s="9"/>
      <c r="C15" s="9"/>
      <c r="D15" s="9"/>
      <c r="E15" s="9"/>
      <c r="F15" s="9"/>
    </row>
    <row r="16" spans="1:7" x14ac:dyDescent="0.25">
      <c r="B16" s="9"/>
      <c r="C16" s="9"/>
      <c r="D16" s="9"/>
      <c r="E16" s="9"/>
      <c r="F16" s="9"/>
    </row>
    <row r="17" spans="2:7" x14ac:dyDescent="0.25">
      <c r="B17" s="9"/>
      <c r="C17" s="9"/>
      <c r="D17" s="9"/>
      <c r="E17" s="9"/>
      <c r="F17" s="9"/>
      <c r="G17" s="9"/>
    </row>
    <row r="18" spans="2:7" x14ac:dyDescent="0.25">
      <c r="B18" s="9"/>
      <c r="C18" s="9"/>
      <c r="D18" s="9"/>
      <c r="E18" s="9"/>
      <c r="F18" s="9"/>
      <c r="G18" s="9"/>
    </row>
    <row r="19" spans="2:7" x14ac:dyDescent="0.25">
      <c r="B19" s="9"/>
      <c r="C19" s="9"/>
      <c r="D19" s="9"/>
      <c r="E19" s="9"/>
      <c r="F19" s="9"/>
      <c r="G19" s="9"/>
    </row>
    <row r="20" spans="2:7" x14ac:dyDescent="0.25">
      <c r="B20" s="9"/>
      <c r="C20" s="9"/>
      <c r="D20" s="9"/>
      <c r="E20" s="9"/>
      <c r="F20" s="9"/>
      <c r="G20" s="9"/>
    </row>
    <row r="21" spans="2:7" x14ac:dyDescent="0.25">
      <c r="B21" s="9"/>
      <c r="C21" s="9"/>
      <c r="D21" s="9"/>
      <c r="E21" s="9"/>
      <c r="F21" s="9"/>
      <c r="G21" s="9"/>
    </row>
    <row r="22" spans="2:7" x14ac:dyDescent="0.25">
      <c r="B22" s="9"/>
      <c r="C22" s="9"/>
      <c r="D22" s="9"/>
      <c r="E22" s="9"/>
      <c r="F22" s="9"/>
      <c r="G22" s="9"/>
    </row>
    <row r="23" spans="2:7" x14ac:dyDescent="0.25">
      <c r="B23" s="9"/>
      <c r="C23" s="9"/>
      <c r="D23" s="9"/>
      <c r="E23" s="9"/>
      <c r="F23" s="9"/>
      <c r="G23" s="9"/>
    </row>
    <row r="24" spans="2:7" x14ac:dyDescent="0.25">
      <c r="B24" s="9"/>
      <c r="C24" s="9"/>
      <c r="D24" s="9"/>
      <c r="E24" s="9"/>
      <c r="F24" s="9"/>
      <c r="G24" s="9"/>
    </row>
    <row r="25" spans="2:7" x14ac:dyDescent="0.25">
      <c r="B25" s="9"/>
      <c r="C25" s="9"/>
      <c r="D25" s="9"/>
      <c r="E25" s="9"/>
      <c r="F25" s="9"/>
      <c r="G25" s="9"/>
    </row>
    <row r="26" spans="2:7" x14ac:dyDescent="0.25">
      <c r="B26" s="9"/>
      <c r="C26" s="9"/>
      <c r="D26" s="9"/>
      <c r="E26" s="9"/>
      <c r="F26" s="9"/>
      <c r="G26" s="9"/>
    </row>
    <row r="27" spans="2:7" x14ac:dyDescent="0.25">
      <c r="B27" s="9"/>
      <c r="C27" s="9"/>
      <c r="D27" s="9"/>
      <c r="E27" s="9"/>
      <c r="F27" s="9"/>
      <c r="G27" s="9"/>
    </row>
    <row r="28" spans="2:7" x14ac:dyDescent="0.25">
      <c r="B28" s="9"/>
      <c r="C28" s="9"/>
      <c r="D28" s="9"/>
      <c r="E28" s="9"/>
      <c r="F28" s="9"/>
      <c r="G28" s="9"/>
    </row>
    <row r="29" spans="2:7" x14ac:dyDescent="0.25">
      <c r="B29" s="9"/>
      <c r="C29" s="9"/>
      <c r="D29" s="9"/>
      <c r="E29" s="9"/>
      <c r="F29" s="9"/>
      <c r="G29" s="9"/>
    </row>
    <row r="30" spans="2:7" x14ac:dyDescent="0.25">
      <c r="B30" s="9"/>
      <c r="C30" s="9"/>
      <c r="D30" s="9"/>
      <c r="E30" s="9"/>
      <c r="F30" s="9"/>
      <c r="G30" s="9"/>
    </row>
    <row r="31" spans="2:7" x14ac:dyDescent="0.25">
      <c r="B31" s="9"/>
      <c r="C31" s="9"/>
      <c r="D31" s="9"/>
      <c r="E31" s="9"/>
      <c r="F31" s="9"/>
      <c r="G31" s="9"/>
    </row>
    <row r="32" spans="2:7" x14ac:dyDescent="0.25">
      <c r="B32" s="9"/>
      <c r="C32" s="9"/>
      <c r="D32" s="9"/>
      <c r="E32" s="9"/>
      <c r="F32" s="9"/>
      <c r="G32" s="9"/>
    </row>
    <row r="33" spans="2:7" x14ac:dyDescent="0.25">
      <c r="B33" s="9"/>
      <c r="C33" s="9"/>
      <c r="D33" s="9"/>
      <c r="E33" s="9"/>
      <c r="F33" s="9"/>
      <c r="G33" s="9"/>
    </row>
    <row r="34" spans="2:7" x14ac:dyDescent="0.25">
      <c r="B34" s="9"/>
      <c r="C34" s="9"/>
      <c r="D34" s="9"/>
      <c r="E34" s="9"/>
      <c r="F34" s="9"/>
      <c r="G34" s="9"/>
    </row>
    <row r="35" spans="2:7" x14ac:dyDescent="0.25">
      <c r="B35" s="9"/>
      <c r="C35" s="9"/>
      <c r="D35" s="9"/>
      <c r="E35" s="9"/>
      <c r="F35" s="9"/>
      <c r="G35" s="9"/>
    </row>
    <row r="36" spans="2:7" x14ac:dyDescent="0.25">
      <c r="B36" s="9"/>
      <c r="C36" s="9"/>
      <c r="D36" s="9"/>
      <c r="E36" s="9"/>
      <c r="F36" s="9"/>
      <c r="G36" s="9"/>
    </row>
    <row r="37" spans="2:7" x14ac:dyDescent="0.25">
      <c r="B37" s="9"/>
      <c r="C37" s="9"/>
      <c r="D37" s="9"/>
      <c r="E37" s="9"/>
      <c r="F37" s="9"/>
      <c r="G37" s="9"/>
    </row>
    <row r="38" spans="2:7" x14ac:dyDescent="0.25">
      <c r="B38" s="9"/>
      <c r="C38" s="9"/>
      <c r="D38" s="9"/>
      <c r="E38" s="9"/>
      <c r="F38" s="9"/>
      <c r="G38" s="9"/>
    </row>
    <row r="39" spans="2:7" x14ac:dyDescent="0.25">
      <c r="B39" s="9"/>
      <c r="C39" s="9"/>
      <c r="D39" s="9"/>
      <c r="E39" s="9"/>
      <c r="F39" s="9"/>
      <c r="G39" s="9"/>
    </row>
    <row r="40" spans="2:7" x14ac:dyDescent="0.25">
      <c r="B40" s="9"/>
      <c r="C40" s="9"/>
      <c r="D40" s="9"/>
      <c r="E40" s="9"/>
      <c r="F40" s="9"/>
      <c r="G40" s="9"/>
    </row>
    <row r="41" spans="2:7" x14ac:dyDescent="0.25">
      <c r="B41" s="9"/>
      <c r="C41" s="9"/>
      <c r="D41" s="9"/>
      <c r="E41" s="9"/>
      <c r="F41" s="9"/>
      <c r="G41" s="9"/>
    </row>
    <row r="42" spans="2:7" x14ac:dyDescent="0.25">
      <c r="B42" s="9"/>
      <c r="C42" s="9"/>
      <c r="D42" s="9"/>
      <c r="E42" s="9"/>
      <c r="F42" s="9"/>
      <c r="G42" s="9"/>
    </row>
    <row r="43" spans="2:7" x14ac:dyDescent="0.25">
      <c r="B43" s="9"/>
      <c r="C43" s="9"/>
      <c r="D43" s="9"/>
      <c r="E43" s="9"/>
      <c r="F43" s="9"/>
      <c r="G43" s="9"/>
    </row>
    <row r="44" spans="2:7" x14ac:dyDescent="0.25">
      <c r="B44" s="9"/>
      <c r="C44" s="9"/>
      <c r="D44" s="9"/>
      <c r="E44" s="9"/>
      <c r="F44" s="9"/>
      <c r="G44" s="9"/>
    </row>
    <row r="45" spans="2:7" x14ac:dyDescent="0.25">
      <c r="B45" s="9"/>
      <c r="C45" s="9"/>
      <c r="D45" s="9"/>
      <c r="E45" s="9"/>
      <c r="F45" s="9"/>
      <c r="G45" s="9"/>
    </row>
    <row r="46" spans="2:7" x14ac:dyDescent="0.25">
      <c r="B46" s="9"/>
      <c r="C46" s="9"/>
      <c r="D46" s="9"/>
      <c r="E46" s="9"/>
      <c r="F46" s="9"/>
      <c r="G46" s="9"/>
    </row>
    <row r="47" spans="2:7" x14ac:dyDescent="0.25">
      <c r="B47" s="9"/>
      <c r="C47" s="9"/>
      <c r="D47" s="9"/>
      <c r="E47" s="9"/>
      <c r="F47" s="9"/>
      <c r="G47" s="9"/>
    </row>
    <row r="48" spans="2:7" x14ac:dyDescent="0.25">
      <c r="B48" s="9"/>
      <c r="C48" s="9"/>
      <c r="D48" s="9"/>
      <c r="E48" s="9"/>
      <c r="F48" s="9"/>
      <c r="G48" s="9"/>
    </row>
    <row r="49" spans="2:7" x14ac:dyDescent="0.25">
      <c r="B49" s="9"/>
      <c r="C49" s="9"/>
      <c r="D49" s="9"/>
      <c r="E49" s="9"/>
      <c r="F49" s="9"/>
      <c r="G49" s="9"/>
    </row>
    <row r="50" spans="2:7" x14ac:dyDescent="0.25">
      <c r="B50" s="9"/>
      <c r="C50" s="9"/>
      <c r="D50" s="9"/>
      <c r="E50" s="9"/>
      <c r="F50" s="9"/>
      <c r="G50" s="9"/>
    </row>
    <row r="51" spans="2:7" x14ac:dyDescent="0.25">
      <c r="B51" s="9"/>
      <c r="C51" s="9"/>
      <c r="D51" s="9"/>
      <c r="E51" s="9"/>
      <c r="F51" s="9"/>
      <c r="G51" s="9"/>
    </row>
    <row r="52" spans="2:7" x14ac:dyDescent="0.25">
      <c r="B52" s="9"/>
      <c r="C52" s="9"/>
      <c r="D52" s="9"/>
      <c r="E52" s="9"/>
      <c r="F52" s="9"/>
      <c r="G52" s="9"/>
    </row>
    <row r="53" spans="2:7" x14ac:dyDescent="0.25">
      <c r="B53" s="9"/>
      <c r="C53" s="9"/>
      <c r="D53" s="9"/>
      <c r="E53" s="9"/>
      <c r="F53" s="9"/>
      <c r="G53" s="9"/>
    </row>
    <row r="54" spans="2:7" x14ac:dyDescent="0.25">
      <c r="B54" s="9"/>
      <c r="C54" s="9"/>
      <c r="D54" s="9"/>
      <c r="E54" s="9"/>
      <c r="F54" s="9"/>
      <c r="G54" s="9"/>
    </row>
    <row r="55" spans="2:7" x14ac:dyDescent="0.25">
      <c r="B55" s="9"/>
      <c r="C55" s="9"/>
      <c r="D55" s="9"/>
      <c r="E55" s="9"/>
      <c r="F55" s="9"/>
      <c r="G55" s="9"/>
    </row>
    <row r="56" spans="2:7" x14ac:dyDescent="0.25">
      <c r="B56" s="9"/>
      <c r="C56" s="9"/>
      <c r="D56" s="9"/>
      <c r="E56" s="9"/>
      <c r="F56" s="9"/>
      <c r="G56" s="9"/>
    </row>
    <row r="57" spans="2:7" x14ac:dyDescent="0.25">
      <c r="B57" s="9"/>
      <c r="C57" s="9"/>
      <c r="D57" s="9"/>
      <c r="E57" s="9"/>
      <c r="F57" s="9"/>
      <c r="G57" s="9"/>
    </row>
    <row r="58" spans="2:7" x14ac:dyDescent="0.25">
      <c r="B58" s="9"/>
      <c r="C58" s="9"/>
      <c r="D58" s="9"/>
      <c r="E58" s="9"/>
      <c r="F58" s="9"/>
      <c r="G58" s="9"/>
    </row>
    <row r="59" spans="2:7" x14ac:dyDescent="0.25">
      <c r="B59" s="9"/>
      <c r="C59" s="9"/>
      <c r="D59" s="9"/>
      <c r="E59" s="9"/>
      <c r="F59" s="9"/>
      <c r="G59" s="9"/>
    </row>
    <row r="60" spans="2:7" x14ac:dyDescent="0.25">
      <c r="B60" s="9"/>
      <c r="C60" s="9"/>
      <c r="D60" s="9"/>
      <c r="E60" s="9"/>
      <c r="F60" s="9"/>
      <c r="G60" s="9"/>
    </row>
    <row r="61" spans="2:7" x14ac:dyDescent="0.25">
      <c r="B61" s="9"/>
      <c r="C61" s="9"/>
      <c r="D61" s="9"/>
      <c r="E61" s="9"/>
      <c r="F61" s="9"/>
      <c r="G61" s="9"/>
    </row>
    <row r="62" spans="2:7" x14ac:dyDescent="0.25">
      <c r="B62" s="9"/>
      <c r="C62" s="9"/>
      <c r="D62" s="9"/>
      <c r="E62" s="9"/>
      <c r="F62" s="9"/>
      <c r="G62" s="9"/>
    </row>
    <row r="63" spans="2:7" x14ac:dyDescent="0.25">
      <c r="B63" s="9"/>
      <c r="C63" s="9"/>
      <c r="D63" s="9"/>
      <c r="E63" s="9"/>
      <c r="F63" s="9"/>
      <c r="G63" s="9"/>
    </row>
    <row r="64" spans="2:7" x14ac:dyDescent="0.25">
      <c r="B64" s="9"/>
      <c r="C64" s="9"/>
      <c r="D64" s="9"/>
      <c r="E64" s="9"/>
      <c r="F64" s="9"/>
      <c r="G64" s="9"/>
    </row>
    <row r="65" spans="2:7" x14ac:dyDescent="0.25">
      <c r="B65" s="9"/>
      <c r="C65" s="9"/>
      <c r="D65" s="9"/>
      <c r="E65" s="9"/>
      <c r="F65" s="9"/>
      <c r="G65" s="9"/>
    </row>
    <row r="66" spans="2:7" x14ac:dyDescent="0.25">
      <c r="B66" s="9"/>
      <c r="C66" s="9"/>
      <c r="D66" s="9"/>
      <c r="E66" s="9"/>
      <c r="F66" s="9"/>
      <c r="G66" s="9"/>
    </row>
    <row r="67" spans="2:7" x14ac:dyDescent="0.25">
      <c r="B67" s="9"/>
      <c r="C67" s="9"/>
      <c r="D67" s="9"/>
      <c r="E67" s="9"/>
      <c r="F67" s="9"/>
      <c r="G67" s="9"/>
    </row>
    <row r="68" spans="2:7" x14ac:dyDescent="0.25">
      <c r="B68" s="9"/>
      <c r="C68" s="9"/>
      <c r="D68" s="9"/>
      <c r="E68" s="9"/>
      <c r="F68" s="9"/>
      <c r="G68" s="9"/>
    </row>
    <row r="69" spans="2:7" x14ac:dyDescent="0.25">
      <c r="B69" s="9"/>
      <c r="C69" s="9"/>
      <c r="D69" s="9"/>
      <c r="E69" s="9"/>
      <c r="F69" s="9"/>
      <c r="G69" s="9"/>
    </row>
    <row r="70" spans="2:7" x14ac:dyDescent="0.25">
      <c r="B70" s="9"/>
      <c r="C70" s="9"/>
      <c r="D70" s="9"/>
      <c r="E70" s="9"/>
      <c r="F70" s="9"/>
      <c r="G70" s="9"/>
    </row>
    <row r="71" spans="2:7" x14ac:dyDescent="0.25">
      <c r="B71" s="9"/>
      <c r="C71" s="9"/>
      <c r="D71" s="9"/>
      <c r="E71" s="9"/>
      <c r="F71" s="9"/>
      <c r="G71" s="9"/>
    </row>
    <row r="72" spans="2:7" x14ac:dyDescent="0.25">
      <c r="B72" s="9"/>
      <c r="C72" s="9"/>
      <c r="D72" s="9"/>
      <c r="E72" s="9"/>
      <c r="F72" s="9"/>
      <c r="G72" s="9"/>
    </row>
    <row r="73" spans="2:7" x14ac:dyDescent="0.25">
      <c r="B73" s="9"/>
      <c r="C73" s="9"/>
      <c r="D73" s="9"/>
      <c r="E73" s="9"/>
      <c r="F73" s="9"/>
      <c r="G73" s="9"/>
    </row>
    <row r="74" spans="2:7" x14ac:dyDescent="0.25">
      <c r="B74" s="9"/>
      <c r="C74" s="9"/>
      <c r="D74" s="9"/>
      <c r="E74" s="9"/>
      <c r="F74" s="9"/>
      <c r="G74" s="9"/>
    </row>
    <row r="75" spans="2:7" x14ac:dyDescent="0.25">
      <c r="B75" s="9"/>
      <c r="C75" s="9"/>
      <c r="D75" s="9"/>
      <c r="E75" s="9"/>
      <c r="F75" s="9"/>
      <c r="G75" s="9"/>
    </row>
    <row r="76" spans="2:7" x14ac:dyDescent="0.25">
      <c r="B76" s="9"/>
      <c r="C76" s="9"/>
      <c r="D76" s="9"/>
      <c r="E76" s="9"/>
      <c r="F76" s="9"/>
      <c r="G76" s="9"/>
    </row>
    <row r="77" spans="2:7" x14ac:dyDescent="0.25">
      <c r="B77" s="9"/>
      <c r="C77" s="9"/>
      <c r="D77" s="9"/>
      <c r="E77" s="9"/>
      <c r="F77" s="9"/>
      <c r="G77" s="9"/>
    </row>
    <row r="78" spans="2:7" x14ac:dyDescent="0.25">
      <c r="B78" s="9"/>
      <c r="C78" s="9"/>
      <c r="D78" s="9"/>
      <c r="E78" s="9"/>
      <c r="F78" s="9"/>
      <c r="G78" s="9"/>
    </row>
    <row r="79" spans="2:7" x14ac:dyDescent="0.25">
      <c r="B79" s="9"/>
      <c r="C79" s="9"/>
      <c r="D79" s="9"/>
      <c r="E79" s="9"/>
      <c r="F79" s="9"/>
      <c r="G79" s="9"/>
    </row>
    <row r="80" spans="2:7" x14ac:dyDescent="0.25">
      <c r="B80" s="9"/>
      <c r="C80" s="9"/>
      <c r="D80" s="9"/>
      <c r="E80" s="9"/>
      <c r="F80" s="9"/>
      <c r="G80" s="9"/>
    </row>
    <row r="81" spans="2:7" x14ac:dyDescent="0.25">
      <c r="B81" s="9"/>
      <c r="C81" s="9"/>
      <c r="D81" s="9"/>
      <c r="E81" s="9"/>
      <c r="F81" s="9"/>
      <c r="G81" s="9"/>
    </row>
    <row r="82" spans="2:7" x14ac:dyDescent="0.25">
      <c r="B82" s="9"/>
      <c r="C82" s="9"/>
      <c r="D82" s="9"/>
      <c r="E82" s="9"/>
      <c r="F82" s="9"/>
      <c r="G82" s="9"/>
    </row>
    <row r="83" spans="2:7" x14ac:dyDescent="0.25">
      <c r="B83" s="9"/>
      <c r="C83" s="9"/>
      <c r="D83" s="9"/>
      <c r="E83" s="9"/>
      <c r="F83" s="9"/>
      <c r="G83" s="9"/>
    </row>
    <row r="84" spans="2:7" x14ac:dyDescent="0.25">
      <c r="B84" s="9"/>
      <c r="C84" s="9"/>
      <c r="D84" s="9"/>
      <c r="E84" s="9"/>
      <c r="F84" s="9"/>
      <c r="G84" s="9"/>
    </row>
    <row r="85" spans="2:7" x14ac:dyDescent="0.25">
      <c r="B85" s="9"/>
      <c r="C85" s="9"/>
      <c r="D85" s="9"/>
      <c r="E85" s="9"/>
      <c r="F85" s="9"/>
      <c r="G85" s="9"/>
    </row>
    <row r="86" spans="2:7" x14ac:dyDescent="0.25">
      <c r="B86" s="9"/>
      <c r="C86" s="9"/>
      <c r="D86" s="9"/>
      <c r="E86" s="9"/>
      <c r="F86" s="9"/>
      <c r="G86" s="9"/>
    </row>
    <row r="87" spans="2:7" x14ac:dyDescent="0.25">
      <c r="B87" s="9"/>
      <c r="C87" s="9"/>
      <c r="D87" s="9"/>
      <c r="E87" s="9"/>
      <c r="F87" s="9"/>
      <c r="G87" s="9"/>
    </row>
    <row r="88" spans="2:7" x14ac:dyDescent="0.25">
      <c r="B88" s="9"/>
      <c r="C88" s="9"/>
      <c r="D88" s="9"/>
      <c r="E88" s="9"/>
      <c r="F88" s="9"/>
      <c r="G88" s="9"/>
    </row>
    <row r="89" spans="2:7" x14ac:dyDescent="0.25">
      <c r="B89" s="9"/>
      <c r="C89" s="9"/>
      <c r="D89" s="9"/>
      <c r="E89" s="9"/>
      <c r="F89" s="9"/>
      <c r="G89" s="9"/>
    </row>
    <row r="90" spans="2:7" x14ac:dyDescent="0.25">
      <c r="B90" s="9"/>
      <c r="C90" s="9"/>
      <c r="D90" s="9"/>
      <c r="E90" s="9"/>
      <c r="F90" s="9"/>
      <c r="G90" s="9"/>
    </row>
    <row r="91" spans="2:7" x14ac:dyDescent="0.25">
      <c r="B91" s="9"/>
      <c r="C91" s="9"/>
      <c r="D91" s="9"/>
      <c r="E91" s="9"/>
      <c r="F91" s="9"/>
      <c r="G91" s="9"/>
    </row>
    <row r="92" spans="2:7" x14ac:dyDescent="0.25">
      <c r="B92" s="9"/>
      <c r="C92" s="9"/>
      <c r="D92" s="9"/>
      <c r="E92" s="9"/>
      <c r="F92" s="9"/>
      <c r="G92" s="9"/>
    </row>
    <row r="93" spans="2:7" x14ac:dyDescent="0.25">
      <c r="B93" s="9"/>
      <c r="C93" s="9"/>
      <c r="D93" s="9"/>
      <c r="E93" s="9"/>
      <c r="F93" s="9"/>
      <c r="G93" s="9"/>
    </row>
    <row r="94" spans="2:7" x14ac:dyDescent="0.25">
      <c r="B94" s="9"/>
      <c r="C94" s="9"/>
      <c r="D94" s="9"/>
      <c r="E94" s="9"/>
      <c r="F94" s="9"/>
      <c r="G94" s="9"/>
    </row>
    <row r="95" spans="2:7" x14ac:dyDescent="0.25">
      <c r="B95" s="9"/>
      <c r="C95" s="9"/>
      <c r="D95" s="9"/>
      <c r="E95" s="9"/>
      <c r="F95" s="9"/>
      <c r="G95" s="9"/>
    </row>
    <row r="96" spans="2:7" x14ac:dyDescent="0.25">
      <c r="B96" s="9"/>
      <c r="C96" s="9"/>
      <c r="D96" s="9"/>
      <c r="E96" s="9"/>
      <c r="F96" s="9"/>
      <c r="G96" s="9"/>
    </row>
    <row r="97" spans="2:7" x14ac:dyDescent="0.25">
      <c r="B97" s="9"/>
      <c r="C97" s="9"/>
      <c r="D97" s="9"/>
      <c r="E97" s="9"/>
      <c r="F97" s="9"/>
      <c r="G97" s="9"/>
    </row>
    <row r="98" spans="2:7" x14ac:dyDescent="0.25">
      <c r="B98" s="9"/>
      <c r="C98" s="9"/>
      <c r="D98" s="9"/>
      <c r="E98" s="9"/>
      <c r="F98" s="9"/>
      <c r="G98" s="9"/>
    </row>
    <row r="99" spans="2:7" x14ac:dyDescent="0.25">
      <c r="B99" s="9"/>
      <c r="C99" s="9"/>
      <c r="D99" s="9"/>
      <c r="E99" s="9"/>
      <c r="F99" s="9"/>
      <c r="G99" s="9"/>
    </row>
    <row r="100" spans="2:7" x14ac:dyDescent="0.25">
      <c r="B100" s="9"/>
      <c r="C100" s="9"/>
      <c r="D100" s="9"/>
      <c r="E100" s="9"/>
      <c r="F100" s="9"/>
      <c r="G100" s="9"/>
    </row>
    <row r="101" spans="2:7" x14ac:dyDescent="0.25">
      <c r="B101" s="9"/>
      <c r="C101" s="9"/>
      <c r="D101" s="9"/>
      <c r="E101" s="9"/>
      <c r="F101" s="9"/>
      <c r="G101" s="9"/>
    </row>
    <row r="102" spans="2:7" x14ac:dyDescent="0.25">
      <c r="B102" s="9"/>
      <c r="C102" s="9"/>
      <c r="D102" s="9"/>
      <c r="E102" s="9"/>
      <c r="F102" s="9"/>
      <c r="G102" s="9"/>
    </row>
    <row r="103" spans="2:7" x14ac:dyDescent="0.25">
      <c r="B103" s="9"/>
      <c r="C103" s="9"/>
      <c r="D103" s="9"/>
      <c r="E103" s="9"/>
      <c r="F103" s="9"/>
      <c r="G103" s="9"/>
    </row>
    <row r="104" spans="2:7" x14ac:dyDescent="0.25">
      <c r="B104" s="9"/>
      <c r="C104" s="9"/>
      <c r="D104" s="9"/>
      <c r="E104" s="9"/>
      <c r="F104" s="9"/>
      <c r="G104" s="9"/>
    </row>
    <row r="105" spans="2:7" x14ac:dyDescent="0.25">
      <c r="B105" s="9"/>
      <c r="C105" s="9"/>
      <c r="D105" s="9"/>
      <c r="E105" s="9"/>
      <c r="F105" s="9"/>
      <c r="G105" s="9"/>
    </row>
    <row r="106" spans="2:7" x14ac:dyDescent="0.25">
      <c r="B106" s="9"/>
      <c r="C106" s="9"/>
      <c r="D106" s="9"/>
      <c r="E106" s="9"/>
      <c r="F106" s="9"/>
      <c r="G106" s="9"/>
    </row>
    <row r="107" spans="2:7" x14ac:dyDescent="0.25">
      <c r="B107" s="9"/>
      <c r="C107" s="9"/>
      <c r="D107" s="9"/>
      <c r="E107" s="9"/>
      <c r="F107" s="9"/>
      <c r="G107" s="9"/>
    </row>
    <row r="108" spans="2:7" x14ac:dyDescent="0.25">
      <c r="B108" s="9"/>
      <c r="C108" s="9"/>
      <c r="D108" s="9"/>
      <c r="E108" s="9"/>
      <c r="F108" s="9"/>
      <c r="G108" s="9"/>
    </row>
    <row r="109" spans="2:7" x14ac:dyDescent="0.25">
      <c r="B109" s="9"/>
      <c r="C109" s="9"/>
      <c r="D109" s="9"/>
      <c r="E109" s="9"/>
      <c r="F109" s="9"/>
      <c r="G109" s="9"/>
    </row>
    <row r="110" spans="2:7" x14ac:dyDescent="0.25">
      <c r="B110" s="9"/>
      <c r="C110" s="9"/>
      <c r="D110" s="9"/>
      <c r="E110" s="9"/>
      <c r="F110" s="9"/>
      <c r="G110" s="9"/>
    </row>
    <row r="111" spans="2:7" x14ac:dyDescent="0.25">
      <c r="B111" s="9"/>
      <c r="C111" s="9"/>
      <c r="D111" s="9"/>
      <c r="E111" s="9"/>
      <c r="F111" s="9"/>
      <c r="G111" s="9"/>
    </row>
    <row r="112" spans="2:7" x14ac:dyDescent="0.25">
      <c r="B112" s="9"/>
      <c r="C112" s="9"/>
      <c r="D112" s="9"/>
      <c r="E112" s="9"/>
      <c r="F112" s="9"/>
      <c r="G112" s="9"/>
    </row>
    <row r="113" spans="2:7" x14ac:dyDescent="0.25">
      <c r="B113" s="9"/>
      <c r="C113" s="9"/>
      <c r="D113" s="9"/>
      <c r="E113" s="9"/>
      <c r="F113" s="9"/>
      <c r="G113" s="9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43A4-41C4-4620-AE26-C097A254B75C}">
  <sheetPr codeName="Planilha1">
    <pageSetUpPr fitToPage="1"/>
  </sheetPr>
  <dimension ref="A1:L26"/>
  <sheetViews>
    <sheetView zoomScale="70" zoomScaleNormal="70" zoomScaleSheetLayoutView="40" zoomScalePageLayoutView="70" workbookViewId="0">
      <selection activeCell="I16" sqref="I16"/>
    </sheetView>
  </sheetViews>
  <sheetFormatPr defaultRowHeight="26.25" x14ac:dyDescent="0.4"/>
  <cols>
    <col min="1" max="1" width="64.28515625" style="3" bestFit="1" customWidth="1"/>
    <col min="2" max="2" width="25.28515625" style="11" bestFit="1" customWidth="1"/>
    <col min="3" max="3" width="25.28515625" style="3" bestFit="1" customWidth="1"/>
    <col min="4" max="4" width="23.42578125" style="3" bestFit="1" customWidth="1"/>
    <col min="5" max="5" width="25.85546875" style="3" bestFit="1" customWidth="1"/>
    <col min="6" max="6" width="18.28515625" style="3" bestFit="1" customWidth="1"/>
    <col min="7" max="7" width="27.42578125" style="3" bestFit="1" customWidth="1"/>
    <col min="8" max="8" width="19.5703125" bestFit="1" customWidth="1"/>
    <col min="9" max="9" width="45.140625" bestFit="1" customWidth="1"/>
    <col min="10" max="10" width="20.140625" bestFit="1" customWidth="1"/>
    <col min="12" max="12" width="20.140625" bestFit="1" customWidth="1"/>
    <col min="17" max="17" width="20.140625" bestFit="1" customWidth="1"/>
  </cols>
  <sheetData>
    <row r="1" spans="1:12" x14ac:dyDescent="0.4">
      <c r="A1" s="37" t="str">
        <f>Verbas!B1</f>
        <v>CONDOMINIO EDIFICIO A</v>
      </c>
      <c r="B1" s="37"/>
      <c r="C1" s="37"/>
      <c r="D1" s="37"/>
      <c r="E1" s="37"/>
      <c r="F1" s="37"/>
      <c r="G1" s="37"/>
      <c r="H1" s="31" t="s">
        <v>44</v>
      </c>
      <c r="I1" s="18" t="s">
        <v>29</v>
      </c>
      <c r="J1" s="24" t="s">
        <v>45</v>
      </c>
    </row>
    <row r="2" spans="1:12" x14ac:dyDescent="0.4">
      <c r="A2" s="37" t="str">
        <f>Verbas!B2</f>
        <v>Funcionário: 4 - Igor Couto</v>
      </c>
      <c r="B2" s="37"/>
      <c r="C2" s="37"/>
      <c r="D2" s="37"/>
      <c r="E2" s="37"/>
      <c r="F2" s="37"/>
      <c r="G2" s="37"/>
      <c r="H2" s="32" t="str">
        <f>_xlfn.CONCAT(DAY(15),"/",MONTH(1))</f>
        <v>15/1</v>
      </c>
      <c r="I2" s="18" t="s">
        <v>30</v>
      </c>
      <c r="J2" s="24"/>
      <c r="L2" s="29" t="str">
        <f>D3</f>
        <v>01/03/2001</v>
      </c>
    </row>
    <row r="3" spans="1:12" x14ac:dyDescent="0.4">
      <c r="A3" s="37" t="s">
        <v>26</v>
      </c>
      <c r="B3" s="37"/>
      <c r="C3" s="37"/>
      <c r="D3" s="37" t="str">
        <f>MID(Verbas!B3,16,10)</f>
        <v>01/03/2001</v>
      </c>
      <c r="E3" s="37"/>
      <c r="F3" s="37"/>
      <c r="G3" s="37"/>
      <c r="H3" s="32" t="str">
        <f>_xlfn.CONCAT(DAY(15),"/",MONTH(H2)+1)</f>
        <v>15/2</v>
      </c>
      <c r="I3" s="18" t="s">
        <v>31</v>
      </c>
      <c r="J3" s="24"/>
      <c r="L3" s="29">
        <f>D5</f>
        <v>44546</v>
      </c>
    </row>
    <row r="4" spans="1:12" x14ac:dyDescent="0.4">
      <c r="A4" s="37" t="s">
        <v>27</v>
      </c>
      <c r="B4" s="37"/>
      <c r="C4" s="37"/>
      <c r="D4" s="37" t="str">
        <f>MID(Verbas!B4,20,10)</f>
        <v>02/09/2021</v>
      </c>
      <c r="E4" s="37"/>
      <c r="F4" s="37"/>
      <c r="G4" s="37"/>
      <c r="H4" s="32" t="str">
        <f t="shared" ref="H4:H13" si="0">_xlfn.CONCAT(DAY(15),"/",MONTH(H3)+1)</f>
        <v>15/3</v>
      </c>
      <c r="I4" s="18" t="s">
        <v>32</v>
      </c>
      <c r="J4" s="24"/>
    </row>
    <row r="5" spans="1:12" x14ac:dyDescent="0.4">
      <c r="A5" s="37" t="s">
        <v>28</v>
      </c>
      <c r="B5" s="37"/>
      <c r="C5" s="37"/>
      <c r="D5" s="41">
        <f>D4+B8+B9</f>
        <v>44546</v>
      </c>
      <c r="E5" s="41"/>
      <c r="F5" s="41"/>
      <c r="G5" s="41"/>
      <c r="H5" s="32" t="str">
        <f t="shared" si="0"/>
        <v>15/4</v>
      </c>
      <c r="I5" s="18" t="s">
        <v>38</v>
      </c>
      <c r="J5" s="24"/>
    </row>
    <row r="6" spans="1:12" x14ac:dyDescent="0.4">
      <c r="A6" s="38" t="s">
        <v>21</v>
      </c>
      <c r="B6" s="39"/>
      <c r="C6" s="39"/>
      <c r="D6" s="39"/>
      <c r="E6" s="39"/>
      <c r="F6" s="39"/>
      <c r="G6" s="40"/>
      <c r="H6" s="32" t="str">
        <f t="shared" si="0"/>
        <v>15/5</v>
      </c>
    </row>
    <row r="7" spans="1:12" x14ac:dyDescent="0.4">
      <c r="A7" s="28" t="s">
        <v>24</v>
      </c>
      <c r="B7" s="28" t="s">
        <v>25</v>
      </c>
      <c r="C7" s="28" t="s">
        <v>10</v>
      </c>
      <c r="D7" s="28" t="s">
        <v>11</v>
      </c>
      <c r="E7" s="28" t="s">
        <v>12</v>
      </c>
      <c r="F7" s="28" t="s">
        <v>13</v>
      </c>
      <c r="G7" s="28"/>
      <c r="H7" s="32" t="str">
        <f t="shared" si="0"/>
        <v>15/6</v>
      </c>
    </row>
    <row r="8" spans="1:12" ht="27" customHeight="1" x14ac:dyDescent="0.35">
      <c r="A8" s="5" t="str">
        <f>IF(IFERROR(Verbas!G6,1)=1,0,"Aviso Prévio")</f>
        <v>Aviso Prévio</v>
      </c>
      <c r="B8" s="12">
        <f>IF($A8="Aviso Prévio",Verbas!B6,0)</f>
        <v>90</v>
      </c>
      <c r="C8" s="13">
        <f>IF($A8="Aviso Prévio",Verbas!C6,0)</f>
        <v>8306.25</v>
      </c>
      <c r="D8" s="13">
        <v>0</v>
      </c>
      <c r="E8" s="13">
        <f>IF($A8="Aviso Prévio",Verbas!E6,0)</f>
        <v>930.3</v>
      </c>
      <c r="F8" s="13">
        <f>IF($A8="Aviso Prévio",Verbas!F6,0)</f>
        <v>83.0625</v>
      </c>
      <c r="G8" s="13">
        <f t="shared" ref="G8:G14" si="1">SUM(C8:F8)</f>
        <v>9319.6124999999993</v>
      </c>
      <c r="H8" s="32" t="str">
        <f t="shared" si="0"/>
        <v>15/7</v>
      </c>
    </row>
    <row r="9" spans="1:12" ht="27" customHeight="1" x14ac:dyDescent="0.35">
      <c r="A9" s="5" t="str">
        <f>IF(J1="Sim","Aviso Prévio CCT",0)</f>
        <v>Aviso Prévio CCT</v>
      </c>
      <c r="B9" s="14">
        <f>IF(A9="Aviso Prévio CCT",15,0)</f>
        <v>15</v>
      </c>
      <c r="C9" s="15">
        <f>IF($B$9&lt;&gt;0,C8/$B$8*15,0)</f>
        <v>1384.375</v>
      </c>
      <c r="D9" s="15">
        <f>IF($B$9&lt;&gt;0,D8/$B$8*15,0)</f>
        <v>0</v>
      </c>
      <c r="E9" s="15">
        <f>IF($B$9&lt;&gt;0,E8/$B$8*15,0)</f>
        <v>155.04999999999998</v>
      </c>
      <c r="F9" s="15">
        <f>IF($B$9&lt;&gt;0,F8/$B$8*15,0)</f>
        <v>13.84375</v>
      </c>
      <c r="G9" s="13">
        <f t="shared" si="1"/>
        <v>1553.26875</v>
      </c>
      <c r="H9" s="32" t="str">
        <f t="shared" si="0"/>
        <v>15/8</v>
      </c>
      <c r="J9" t="s">
        <v>33</v>
      </c>
    </row>
    <row r="10" spans="1:12" ht="27" customHeight="1" x14ac:dyDescent="0.35">
      <c r="A10" s="5" t="str">
        <f>IF(IFERROR(Verbas!G7,1)=1,0,"Saldo de Salário")</f>
        <v>Saldo de Salário</v>
      </c>
      <c r="B10" s="12">
        <f>IF($A10="Saldo de Salário",Verbas!B7,0)</f>
        <v>2</v>
      </c>
      <c r="C10" s="17">
        <f>IF($A10="Saldo de Salário",Verbas!C7,0)</f>
        <v>108.15</v>
      </c>
      <c r="D10" s="17">
        <f>IF($A10="Saldo de Salário",Verbas!D7,0)</f>
        <v>27.578200000000002</v>
      </c>
      <c r="E10" s="17">
        <f>IF($A10="Saldo de Salário",Verbas!E7,0)</f>
        <v>12.1128</v>
      </c>
      <c r="F10" s="17">
        <f>IF($A10="Saldo de Salário",Verbas!F7,0)</f>
        <v>1.0815000000000001</v>
      </c>
      <c r="G10" s="13">
        <f t="shared" si="1"/>
        <v>148.92250000000001</v>
      </c>
      <c r="H10" s="32" t="str">
        <f t="shared" si="0"/>
        <v>15/9</v>
      </c>
    </row>
    <row r="11" spans="1:12" ht="27" customHeight="1" x14ac:dyDescent="0.35">
      <c r="A11" s="5" t="str">
        <f>IF(IFERROR(Verbas!G8,1)=1,0,"13º Salário")</f>
        <v>13º Salário</v>
      </c>
      <c r="B11" s="12">
        <f>IF($A11="13º Salário",Verbas!B8,0)</f>
        <v>8</v>
      </c>
      <c r="C11" s="17">
        <f>IF($A11="13º Salário",Verbas!C8,0)</f>
        <v>1913.4267000000002</v>
      </c>
      <c r="D11" s="17">
        <f>IF($C11&gt;0,$C11*27/100,0)</f>
        <v>516.62520900000004</v>
      </c>
      <c r="E11" s="17">
        <f>IF($C11&gt;0,$C11*11.2/100,0)</f>
        <v>214.3037904</v>
      </c>
      <c r="F11" s="17">
        <f>IF($C11&gt;0,$C11*1/100,0)</f>
        <v>19.134267000000001</v>
      </c>
      <c r="G11" s="13">
        <f t="shared" si="1"/>
        <v>2663.4899664</v>
      </c>
      <c r="H11" s="32" t="str">
        <f t="shared" si="0"/>
        <v>15/10</v>
      </c>
    </row>
    <row r="12" spans="1:12" ht="27" customHeight="1" x14ac:dyDescent="0.35">
      <c r="A12" s="5" t="str">
        <f>IF(IFERROR(Verbas!G9,1)=1,0,"13º Salário Indenizado")</f>
        <v>13º Salário Indenizado</v>
      </c>
      <c r="B12" s="12">
        <f>J2</f>
        <v>0</v>
      </c>
      <c r="C12" s="17">
        <f>C11/$B$11*$B$12</f>
        <v>0</v>
      </c>
      <c r="D12" s="17">
        <f t="shared" ref="D12:F12" si="2">D11/$B$11*$B$12</f>
        <v>0</v>
      </c>
      <c r="E12" s="17">
        <f>E11/$B$11*$B$12</f>
        <v>0</v>
      </c>
      <c r="F12" s="17">
        <f t="shared" si="2"/>
        <v>0</v>
      </c>
      <c r="G12" s="13">
        <f t="shared" si="1"/>
        <v>0</v>
      </c>
      <c r="H12" s="32" t="str">
        <f t="shared" si="0"/>
        <v>15/11</v>
      </c>
    </row>
    <row r="13" spans="1:12" ht="27" customHeight="1" x14ac:dyDescent="0.35">
      <c r="A13" s="5" t="str">
        <f>IF(IFERROR(Verbas!G10,1)=1,0,"Férias Proporcionais")</f>
        <v>Férias Proporcionais</v>
      </c>
      <c r="B13" s="12">
        <f>IF($A13="Férias Proporcionais",Verbas!B10,0)</f>
        <v>6</v>
      </c>
      <c r="C13" s="17">
        <f>IF($A13="Férias Proporcionais",Verbas!C10,0)</f>
        <v>1899.7</v>
      </c>
      <c r="D13" s="17">
        <f>IF($A13="Férias Proporcionais",Verbas!D10,0)</f>
        <v>0</v>
      </c>
      <c r="E13" s="17">
        <f>IF($A13="Férias Proporcionais",Verbas!E10,0)</f>
        <v>0</v>
      </c>
      <c r="F13" s="17">
        <f>IF($A13="Férias Proporcionais",Verbas!F10,0)</f>
        <v>18.997</v>
      </c>
      <c r="G13" s="13">
        <f t="shared" si="1"/>
        <v>1918.6970000000001</v>
      </c>
      <c r="H13" s="32" t="str">
        <f t="shared" si="0"/>
        <v>15/12</v>
      </c>
    </row>
    <row r="14" spans="1:12" ht="27" customHeight="1" x14ac:dyDescent="0.35">
      <c r="A14" s="5" t="str">
        <f>IF(IFERROR(Verbas!G11,1)=1,0,"Férias Proporcionais Indenizada")</f>
        <v>Férias Proporcionais Indenizada</v>
      </c>
      <c r="B14" s="12">
        <f>J3</f>
        <v>0</v>
      </c>
      <c r="C14" s="17">
        <f>C13/$B$13*$B$14</f>
        <v>0</v>
      </c>
      <c r="D14" s="17">
        <f t="shared" ref="D14:F14" si="3">D13/$B$13*$B$14</f>
        <v>0</v>
      </c>
      <c r="E14" s="17">
        <f t="shared" si="3"/>
        <v>0</v>
      </c>
      <c r="F14" s="17">
        <f t="shared" si="3"/>
        <v>0</v>
      </c>
      <c r="G14" s="13">
        <f t="shared" si="1"/>
        <v>0</v>
      </c>
      <c r="H14" s="33" t="s">
        <v>43</v>
      </c>
    </row>
    <row r="15" spans="1:12" ht="27" customHeight="1" x14ac:dyDescent="0.35">
      <c r="A15" s="5" t="str">
        <f>IF(IFERROR(Verbas!G12,1)=1,0,"Férias Vencidas")</f>
        <v>Férias Vencidas</v>
      </c>
      <c r="B15" s="12">
        <f>IF($A15="Férias Vencidas",Verbas!B12,0)</f>
        <v>12</v>
      </c>
      <c r="C15" s="17">
        <f>IF($A15="Férias Vencidas",Verbas!C12,0)</f>
        <v>4238.2533000000003</v>
      </c>
      <c r="D15" s="17">
        <f>IF($A15="Férias Vencidas",Verbas!D12,0)</f>
        <v>0</v>
      </c>
      <c r="E15" s="17">
        <f>IF($A15="Férias Vencidas",Verbas!E12,0)</f>
        <v>0</v>
      </c>
      <c r="F15" s="17">
        <f>IF($A15="Férias Vencidas",Verbas!F12,0)</f>
        <v>42.3825</v>
      </c>
      <c r="G15" s="17">
        <f>IF($A15="Férias Vencidas",Verbas!G12,0)</f>
        <v>4280.6358</v>
      </c>
      <c r="H15" s="34" t="str">
        <f>_xlfn.CONCAT(DAY(D3)+14,"/",IF(MONTH(D3)&gt;12,1,MONTH(D3)))</f>
        <v>15/3</v>
      </c>
      <c r="I15" s="30"/>
    </row>
    <row r="16" spans="1:12" ht="27" hidden="1" customHeight="1" x14ac:dyDescent="0.35">
      <c r="A16" s="5">
        <f>IF(J4&gt;0,I4,0)</f>
        <v>0</v>
      </c>
      <c r="B16" s="12">
        <v>0</v>
      </c>
      <c r="C16" s="17">
        <f>J4</f>
        <v>0</v>
      </c>
      <c r="D16" s="17">
        <v>0</v>
      </c>
      <c r="E16" s="17">
        <v>0</v>
      </c>
      <c r="F16" s="17">
        <f>C16/100</f>
        <v>0</v>
      </c>
      <c r="G16" s="13">
        <f>SUM(C16:F16)</f>
        <v>0</v>
      </c>
      <c r="H16" s="32" t="str">
        <f t="shared" ref="H16:H26" si="4">_xlfn.CONCAT(DAY(H15),"/",IF(MONTH(H15)&gt;=12,1,MONTH(H15)+1))</f>
        <v>15/4</v>
      </c>
      <c r="J16" s="29"/>
    </row>
    <row r="17" spans="1:8" ht="27" hidden="1" customHeight="1" x14ac:dyDescent="0.35">
      <c r="A17" s="5">
        <f>IF(J5&gt;0,I5,0)</f>
        <v>0</v>
      </c>
      <c r="B17" s="12">
        <v>0</v>
      </c>
      <c r="C17" s="17">
        <f>J5</f>
        <v>0</v>
      </c>
      <c r="D17" s="17">
        <v>0</v>
      </c>
      <c r="E17" s="17">
        <v>0</v>
      </c>
      <c r="F17" s="17">
        <v>0</v>
      </c>
      <c r="G17" s="13">
        <f>J5</f>
        <v>0</v>
      </c>
      <c r="H17" s="32" t="str">
        <f t="shared" si="4"/>
        <v>15/5</v>
      </c>
    </row>
    <row r="18" spans="1:8" ht="27" customHeight="1" x14ac:dyDescent="0.35">
      <c r="A18" s="5" t="str">
        <f>IF(IFERROR(Verbas!G13,1)=1,0,"Saldo FGTS (retido na CEF)")</f>
        <v>Saldo FGTS (retido na CEF)</v>
      </c>
      <c r="B18" s="12">
        <f>IF($A18="Saldo FGTS (retido na CEF)",Verbas!B13,0)</f>
        <v>0</v>
      </c>
      <c r="C18" s="17">
        <f>IF($A18="Saldo FGTS (retido na CEF)",Verbas!C13,0)</f>
        <v>59000</v>
      </c>
      <c r="D18" s="17">
        <f>IF($A18="Saldo FGTS (retido na CEF)",Verbas!D13,0)</f>
        <v>0</v>
      </c>
      <c r="E18" s="17">
        <f>IF($A18="Saldo FGTS (retido na CEF)",Verbas!E13,0)</f>
        <v>23600</v>
      </c>
      <c r="F18" s="17">
        <f>IF($A18="Saldo FGTS (retido na CEF)",Verbas!F13,0)</f>
        <v>0</v>
      </c>
      <c r="G18" s="13">
        <f>E18</f>
        <v>23600</v>
      </c>
      <c r="H18" s="32" t="str">
        <f t="shared" si="4"/>
        <v>15/6</v>
      </c>
    </row>
    <row r="19" spans="1:8" ht="27" thickBot="1" x14ac:dyDescent="0.4">
      <c r="A19" s="6" t="s">
        <v>21</v>
      </c>
      <c r="B19" s="16"/>
      <c r="C19" s="16"/>
      <c r="D19" s="16"/>
      <c r="E19" s="16"/>
      <c r="F19" s="16"/>
      <c r="G19" s="21">
        <f>SUM(G8:G18)</f>
        <v>43484.6265164</v>
      </c>
      <c r="H19" s="32" t="str">
        <f t="shared" si="4"/>
        <v>15/7</v>
      </c>
    </row>
    <row r="20" spans="1:8" x14ac:dyDescent="0.4">
      <c r="G20" s="4"/>
      <c r="H20" s="32" t="str">
        <f t="shared" si="4"/>
        <v>15/8</v>
      </c>
    </row>
    <row r="21" spans="1:8" ht="27" thickBot="1" x14ac:dyDescent="0.45">
      <c r="H21" s="32" t="str">
        <f t="shared" si="4"/>
        <v>15/9</v>
      </c>
    </row>
    <row r="22" spans="1:8" x14ac:dyDescent="0.4">
      <c r="A22" s="35" t="s">
        <v>37</v>
      </c>
      <c r="B22" s="36"/>
      <c r="H22" s="32" t="str">
        <f t="shared" si="4"/>
        <v>15/10</v>
      </c>
    </row>
    <row r="23" spans="1:8" x14ac:dyDescent="0.4">
      <c r="A23" s="19" t="s">
        <v>36</v>
      </c>
      <c r="B23" s="20">
        <f>SUM(C8:C17)</f>
        <v>17850.154999999999</v>
      </c>
      <c r="H23" s="32" t="str">
        <f t="shared" si="4"/>
        <v>15/11</v>
      </c>
    </row>
    <row r="24" spans="1:8" x14ac:dyDescent="0.4">
      <c r="A24" s="19" t="s">
        <v>35</v>
      </c>
      <c r="B24" s="20">
        <f>SUM(E8:E18)</f>
        <v>24911.766590399999</v>
      </c>
      <c r="H24" s="32" t="str">
        <f t="shared" si="4"/>
        <v>15/12</v>
      </c>
    </row>
    <row r="25" spans="1:8" x14ac:dyDescent="0.4">
      <c r="A25" s="19" t="s">
        <v>34</v>
      </c>
      <c r="B25" s="20">
        <f>SUM(D8:D18)+SUM(F8:F18)</f>
        <v>722.70492600000011</v>
      </c>
      <c r="H25" s="32" t="str">
        <f t="shared" si="4"/>
        <v>15/1</v>
      </c>
    </row>
    <row r="26" spans="1:8" ht="27" thickBot="1" x14ac:dyDescent="0.45">
      <c r="A26" s="22" t="s">
        <v>2</v>
      </c>
      <c r="B26" s="23">
        <f>SUM(B23:B25)</f>
        <v>43484.6265164</v>
      </c>
      <c r="H26" s="32" t="str">
        <f t="shared" si="4"/>
        <v>15/2</v>
      </c>
    </row>
  </sheetData>
  <sheetProtection formatCells="0" formatRows="0"/>
  <mergeCells count="10">
    <mergeCell ref="A22:B22"/>
    <mergeCell ref="A2:G2"/>
    <mergeCell ref="A1:G1"/>
    <mergeCell ref="A6:G6"/>
    <mergeCell ref="A3:C3"/>
    <mergeCell ref="A4:C4"/>
    <mergeCell ref="D3:G3"/>
    <mergeCell ref="D4:G4"/>
    <mergeCell ref="A5:C5"/>
    <mergeCell ref="D5:G5"/>
  </mergeCells>
  <conditionalFormatting sqref="J2">
    <cfRule type="cellIs" dxfId="16" priority="30" operator="lessThan">
      <formula>1</formula>
    </cfRule>
  </conditionalFormatting>
  <conditionalFormatting sqref="J4">
    <cfRule type="cellIs" dxfId="15" priority="28" operator="lessThan">
      <formula>1</formula>
    </cfRule>
  </conditionalFormatting>
  <conditionalFormatting sqref="J5">
    <cfRule type="cellIs" dxfId="14" priority="27" operator="lessThan">
      <formula>1</formula>
    </cfRule>
  </conditionalFormatting>
  <conditionalFormatting sqref="B12:G12">
    <cfRule type="cellIs" dxfId="13" priority="26" operator="lessThan">
      <formula>0.01</formula>
    </cfRule>
  </conditionalFormatting>
  <conditionalFormatting sqref="B14:C14 F14:G14">
    <cfRule type="cellIs" dxfId="12" priority="25" operator="lessThan">
      <formula>0.01</formula>
    </cfRule>
  </conditionalFormatting>
  <conditionalFormatting sqref="C16 F16:G16">
    <cfRule type="cellIs" dxfId="11" priority="24" operator="lessThan">
      <formula>0.01</formula>
    </cfRule>
  </conditionalFormatting>
  <conditionalFormatting sqref="C16:C17 G17 F16:G16">
    <cfRule type="cellIs" dxfId="10" priority="23" operator="lessThan">
      <formula>0.01</formula>
    </cfRule>
  </conditionalFormatting>
  <conditionalFormatting sqref="B9:C9 E9:G9">
    <cfRule type="cellIs" dxfId="9" priority="22" operator="lessThan">
      <formula>0.01</formula>
    </cfRule>
  </conditionalFormatting>
  <conditionalFormatting sqref="J3">
    <cfRule type="cellIs" dxfId="8" priority="21" operator="lessThan">
      <formula>1</formula>
    </cfRule>
  </conditionalFormatting>
  <conditionalFormatting sqref="I15">
    <cfRule type="cellIs" dxfId="7" priority="20" operator="between">
      <formula>$D$3</formula>
      <formula>$D$4</formula>
    </cfRule>
  </conditionalFormatting>
  <conditionalFormatting sqref="H15">
    <cfRule type="expression" dxfId="6" priority="7">
      <formula>AND(MONTH($H$15)&gt;=MONTH($D$3),MONTH($H$15)&lt;MONTH($D$5))</formula>
    </cfRule>
  </conditionalFormatting>
  <conditionalFormatting sqref="H16">
    <cfRule type="expression" dxfId="5" priority="6">
      <formula>AND(MONTH($H$16)&gt;=MONTH($D$3),MONTH($H$16)&lt;MONTH($D$5))</formula>
    </cfRule>
  </conditionalFormatting>
  <conditionalFormatting sqref="H24">
    <cfRule type="expression" dxfId="4" priority="5">
      <formula>AND(MONTH($H$24)&gt;=MONTH($D$3),MONTH($H$24)&lt;MONTH($D$5))</formula>
    </cfRule>
  </conditionalFormatting>
  <conditionalFormatting sqref="H17">
    <cfRule type="expression" dxfId="3" priority="4">
      <formula>AND(MONTH($H$17)&gt;=MONTH($D$3),MONTH($H$17)&lt;MONTH($D$5))</formula>
    </cfRule>
  </conditionalFormatting>
  <conditionalFormatting sqref="H18">
    <cfRule type="expression" dxfId="2" priority="3">
      <formula>AND(MONTH($H$18)&gt;=MONTH($D$3),MONTH($H$18)&lt;MONTH($D$5))</formula>
    </cfRule>
  </conditionalFormatting>
  <conditionalFormatting sqref="H19">
    <cfRule type="expression" dxfId="1" priority="2">
      <formula>AND(MONTH($H$19)&gt;=MONTH($D$3),MONTH($H$19)&lt;MONTH($D$5))</formula>
    </cfRule>
  </conditionalFormatting>
  <conditionalFormatting sqref="H20">
    <cfRule type="expression" dxfId="0" priority="1">
      <formula>AND(MONTH($H$20)&gt;=MONTH($D$3),MONTH($H$20)&lt;MONTH($D$5))</formula>
    </cfRule>
  </conditionalFormatting>
  <dataValidations count="3">
    <dataValidation type="list" allowBlank="1" showInputMessage="1" showErrorMessage="1" sqref="J1" xr:uid="{8AA10053-AE35-4F41-9E01-D48A266E8671}">
      <formula1>"Sim, Não"</formula1>
    </dataValidation>
    <dataValidation type="decimal" allowBlank="1" showInputMessage="1" showErrorMessage="1" sqref="J4:J5" xr:uid="{A26BDA8B-01C4-42C5-9AC3-7D9175638343}">
      <formula1>0</formula1>
      <formula2>9999999999999990</formula2>
    </dataValidation>
    <dataValidation type="whole" allowBlank="1" showInputMessage="1" showErrorMessage="1" sqref="J2:J3" xr:uid="{D73149E2-D29B-4AFB-B5B5-3B5D8D759DE1}">
      <formula1>0</formula1>
      <formula2>4</formula2>
    </dataValidation>
  </dataValidations>
  <pageMargins left="0.7" right="0.7" top="0.75" bottom="0.75" header="0.3" footer="0.3"/>
  <pageSetup paperSize="9" scale="41" orientation="portrait" r:id="rId1"/>
  <headerFooter>
    <oddHeader>&amp;L&amp;G</oddHeader>
    <oddFooter xml:space="preserve">&amp;CRua Ferreira Penteado, 1.121 – Cambuí – Campinas/SP – CEP 13010-041
(19) 3737-5555
www.zelocondominios.com.br
</oddFooter>
  </headerFooter>
  <rowBreaks count="1" manualBreakCount="1">
    <brk id="57" max="16383" man="1"/>
  </rowBreaks>
  <colBreaks count="1" manualBreakCount="1">
    <brk id="10" max="1048575" man="1"/>
  </colBreaks>
  <drawing r:id="rId2"/>
  <legacyDrawing r:id="rId3"/>
  <legacyDrawingHF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8</xdr:col>
                <xdr:colOff>19050</xdr:colOff>
                <xdr:row>17</xdr:row>
                <xdr:rowOff>0</xdr:rowOff>
              </from>
              <to>
                <xdr:col>12</xdr:col>
                <xdr:colOff>76200</xdr:colOff>
                <xdr:row>20</xdr:row>
                <xdr:rowOff>161925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48" r:id="rId7" name="Button 24">
          <controlPr defaultSize="0" print="0" autoFill="0" autoPict="0" macro="[0]!importarArquivo">
            <anchor moveWithCells="1" sizeWithCells="1">
              <from>
                <xdr:col>8</xdr:col>
                <xdr:colOff>47625</xdr:colOff>
                <xdr:row>5</xdr:row>
                <xdr:rowOff>238125</xdr:rowOff>
              </from>
              <to>
                <xdr:col>13</xdr:col>
                <xdr:colOff>552450</xdr:colOff>
                <xdr:row>12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7DE23-E548-4E0E-AD59-0329F51E5D34}">
  <sheetPr codeName="Planilha3"/>
  <dimension ref="A1:BA100"/>
  <sheetViews>
    <sheetView tabSelected="1" zoomScale="85" zoomScaleNormal="85" workbookViewId="0">
      <selection activeCell="T3" sqref="T3"/>
    </sheetView>
  </sheetViews>
  <sheetFormatPr defaultRowHeight="15" x14ac:dyDescent="0.25"/>
  <cols>
    <col min="1" max="1" width="38.28515625" bestFit="1" customWidth="1"/>
    <col min="2" max="2" width="22.42578125" customWidth="1"/>
  </cols>
  <sheetData>
    <row r="1" spans="1:53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"/>
    </row>
    <row r="2" spans="1:53" x14ac:dyDescent="0.25">
      <c r="A2" s="7"/>
      <c r="B2" s="43" t="s">
        <v>46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8" t="s">
        <v>48</v>
      </c>
      <c r="U2" s="48"/>
      <c r="V2" s="48"/>
      <c r="W2" s="48"/>
      <c r="X2" s="48"/>
      <c r="Y2" s="48"/>
      <c r="Z2" s="48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1"/>
    </row>
    <row r="3" spans="1:53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1"/>
    </row>
    <row r="4" spans="1:53" ht="15" customHeight="1" x14ac:dyDescent="0.25">
      <c r="A4" s="7"/>
      <c r="B4" s="47" t="s">
        <v>40</v>
      </c>
      <c r="C4" s="47"/>
      <c r="D4" s="47"/>
      <c r="E4" s="49" t="s">
        <v>4</v>
      </c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8" t="s">
        <v>1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1"/>
    </row>
    <row r="5" spans="1:53" ht="1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1"/>
    </row>
    <row r="6" spans="1:53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1"/>
    </row>
    <row r="7" spans="1:53" ht="15" customHeight="1" x14ac:dyDescent="0.25">
      <c r="A7" s="7"/>
      <c r="B7" s="7"/>
      <c r="C7" s="50" t="s">
        <v>47</v>
      </c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1"/>
    </row>
    <row r="8" spans="1:53" ht="15" customHeight="1" x14ac:dyDescent="0.25">
      <c r="A8" s="7"/>
      <c r="B8" s="7"/>
      <c r="C8" s="50" t="s">
        <v>41</v>
      </c>
      <c r="D8" s="50"/>
      <c r="E8" s="50"/>
      <c r="F8" s="50"/>
      <c r="G8" s="50"/>
      <c r="H8" s="7"/>
      <c r="I8" s="7"/>
      <c r="J8" s="7"/>
      <c r="K8" s="7"/>
      <c r="L8" s="50" t="s">
        <v>42</v>
      </c>
      <c r="M8" s="50"/>
      <c r="N8" s="50"/>
      <c r="O8" s="50"/>
      <c r="P8" s="50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1"/>
    </row>
    <row r="9" spans="1:53" ht="15" customHeight="1" x14ac:dyDescent="0.25">
      <c r="A9" s="7"/>
      <c r="B9" s="7"/>
      <c r="C9" s="50" t="s">
        <v>5</v>
      </c>
      <c r="D9" s="50"/>
      <c r="E9" s="50"/>
      <c r="F9" s="50"/>
      <c r="G9" s="50"/>
      <c r="H9" s="7"/>
      <c r="I9" s="7"/>
      <c r="J9" s="7"/>
      <c r="K9" s="7"/>
      <c r="L9" s="50" t="s">
        <v>6</v>
      </c>
      <c r="M9" s="50"/>
      <c r="N9" s="50"/>
      <c r="O9" s="50"/>
      <c r="P9" s="50"/>
      <c r="Q9" s="50"/>
      <c r="R9" s="50"/>
      <c r="S9" s="50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1"/>
    </row>
    <row r="10" spans="1:53" x14ac:dyDescent="0.25">
      <c r="A10" s="7"/>
      <c r="B10" s="7"/>
      <c r="C10" s="26" t="s">
        <v>7</v>
      </c>
      <c r="D10" s="7"/>
      <c r="E10" s="7"/>
      <c r="F10" s="7"/>
      <c r="G10" s="51" t="s">
        <v>8</v>
      </c>
      <c r="H10" s="51"/>
      <c r="I10" s="51"/>
      <c r="J10" s="51" t="s">
        <v>9</v>
      </c>
      <c r="K10" s="51"/>
      <c r="L10" s="51"/>
      <c r="M10" s="51"/>
      <c r="N10" s="27" t="s">
        <v>10</v>
      </c>
      <c r="O10" s="51" t="s">
        <v>11</v>
      </c>
      <c r="P10" s="51"/>
      <c r="Q10" s="51"/>
      <c r="R10" s="7"/>
      <c r="S10" s="51" t="s">
        <v>12</v>
      </c>
      <c r="T10" s="51"/>
      <c r="U10" s="7"/>
      <c r="V10" s="51" t="s">
        <v>13</v>
      </c>
      <c r="W10" s="51"/>
      <c r="X10" s="7"/>
      <c r="Y10" s="51" t="s">
        <v>2</v>
      </c>
      <c r="Z10" s="51"/>
      <c r="AA10" s="51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1"/>
    </row>
    <row r="11" spans="1:53" ht="1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1"/>
    </row>
    <row r="12" spans="1:53" ht="1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1"/>
    </row>
    <row r="13" spans="1:53" ht="15" customHeight="1" x14ac:dyDescent="0.25">
      <c r="A13" s="7"/>
      <c r="B13" s="7"/>
      <c r="C13" s="43" t="s">
        <v>14</v>
      </c>
      <c r="D13" s="43"/>
      <c r="E13" s="43"/>
      <c r="F13" s="42">
        <v>1146.48</v>
      </c>
      <c r="G13" s="42"/>
      <c r="H13" s="42"/>
      <c r="I13" s="7"/>
      <c r="J13" s="7"/>
      <c r="K13" s="44">
        <v>90</v>
      </c>
      <c r="L13" s="44"/>
      <c r="M13" s="7"/>
      <c r="N13" s="25">
        <v>8306.25</v>
      </c>
      <c r="O13" s="7"/>
      <c r="P13" s="42">
        <v>2118.0936999999999</v>
      </c>
      <c r="Q13" s="42"/>
      <c r="R13" s="42"/>
      <c r="S13" s="42">
        <v>930.3</v>
      </c>
      <c r="T13" s="42"/>
      <c r="U13" s="7"/>
      <c r="V13" s="42">
        <v>83.0625</v>
      </c>
      <c r="W13" s="42"/>
      <c r="X13" s="7"/>
      <c r="Y13" s="42">
        <v>11437.706200000001</v>
      </c>
      <c r="Z13" s="42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1"/>
    </row>
    <row r="14" spans="1:53" ht="1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1"/>
    </row>
    <row r="15" spans="1:53" ht="15" customHeight="1" x14ac:dyDescent="0.25">
      <c r="A15" s="7"/>
      <c r="B15" s="7"/>
      <c r="C15" s="43" t="s">
        <v>15</v>
      </c>
      <c r="D15" s="43"/>
      <c r="E15" s="43"/>
      <c r="F15" s="42">
        <v>0</v>
      </c>
      <c r="G15" s="42"/>
      <c r="H15" s="42"/>
      <c r="I15" s="7"/>
      <c r="J15" s="7"/>
      <c r="K15" s="44">
        <v>2</v>
      </c>
      <c r="L15" s="44"/>
      <c r="M15" s="7"/>
      <c r="N15" s="25">
        <v>108.15</v>
      </c>
      <c r="O15" s="7"/>
      <c r="P15" s="42">
        <v>27.578200000000002</v>
      </c>
      <c r="Q15" s="42"/>
      <c r="R15" s="42"/>
      <c r="S15" s="42">
        <v>12.1128</v>
      </c>
      <c r="T15" s="42"/>
      <c r="U15" s="7"/>
      <c r="V15" s="42">
        <v>1.0815000000000001</v>
      </c>
      <c r="W15" s="42"/>
      <c r="X15" s="7"/>
      <c r="Y15" s="42">
        <v>148.92250000000001</v>
      </c>
      <c r="Z15" s="42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1"/>
    </row>
    <row r="16" spans="1:53" ht="1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1"/>
    </row>
    <row r="17" spans="1:53" ht="15" customHeight="1" x14ac:dyDescent="0.25">
      <c r="A17" s="7"/>
      <c r="B17" s="7"/>
      <c r="C17" s="43" t="s">
        <v>16</v>
      </c>
      <c r="D17" s="43"/>
      <c r="E17" s="43"/>
      <c r="F17" s="42">
        <v>1247.8699999999999</v>
      </c>
      <c r="G17" s="42"/>
      <c r="H17" s="42"/>
      <c r="I17" s="7"/>
      <c r="J17" s="7"/>
      <c r="K17" s="44">
        <v>8</v>
      </c>
      <c r="L17" s="44"/>
      <c r="M17" s="7"/>
      <c r="N17" s="25">
        <v>1913.4267000000002</v>
      </c>
      <c r="O17" s="7"/>
      <c r="P17" s="42">
        <v>487.92379999999997</v>
      </c>
      <c r="Q17" s="42"/>
      <c r="R17" s="42"/>
      <c r="S17" s="42">
        <v>214.30369999999999</v>
      </c>
      <c r="T17" s="42"/>
      <c r="U17" s="7"/>
      <c r="V17" s="42">
        <v>19.1342</v>
      </c>
      <c r="W17" s="42"/>
      <c r="X17" s="7"/>
      <c r="Y17" s="42">
        <v>2634.7884000000004</v>
      </c>
      <c r="Z17" s="42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1"/>
    </row>
    <row r="18" spans="1:53" ht="1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1"/>
    </row>
    <row r="19" spans="1:53" ht="15" customHeight="1" x14ac:dyDescent="0.25">
      <c r="A19" s="7"/>
      <c r="B19" s="7"/>
      <c r="C19" s="43" t="s">
        <v>17</v>
      </c>
      <c r="D19" s="43"/>
      <c r="E19" s="43"/>
      <c r="F19" s="42">
        <v>1247.8699999999999</v>
      </c>
      <c r="G19" s="42"/>
      <c r="H19" s="42"/>
      <c r="I19" s="7"/>
      <c r="J19" s="7"/>
      <c r="K19" s="44">
        <v>3</v>
      </c>
      <c r="L19" s="44"/>
      <c r="M19" s="7"/>
      <c r="N19" s="25">
        <v>717.53499999999997</v>
      </c>
      <c r="O19" s="7"/>
      <c r="P19" s="42">
        <v>0</v>
      </c>
      <c r="Q19" s="42"/>
      <c r="R19" s="42"/>
      <c r="S19" s="42">
        <v>26.7879</v>
      </c>
      <c r="T19" s="42"/>
      <c r="U19" s="7"/>
      <c r="V19" s="42">
        <v>2.3916999999999997</v>
      </c>
      <c r="W19" s="42"/>
      <c r="X19" s="7"/>
      <c r="Y19" s="42">
        <v>746.71460000000002</v>
      </c>
      <c r="Z19" s="42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1"/>
    </row>
    <row r="20" spans="1:53" ht="1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1"/>
    </row>
    <row r="21" spans="1:53" ht="15" customHeight="1" x14ac:dyDescent="0.25">
      <c r="A21" s="7"/>
      <c r="B21" s="7"/>
      <c r="C21" s="43" t="s">
        <v>18</v>
      </c>
      <c r="D21" s="43"/>
      <c r="E21" s="43"/>
      <c r="F21" s="42">
        <v>1227.28</v>
      </c>
      <c r="G21" s="42"/>
      <c r="H21" s="42"/>
      <c r="I21" s="7"/>
      <c r="J21" s="7"/>
      <c r="K21" s="44">
        <v>6</v>
      </c>
      <c r="L21" s="44"/>
      <c r="M21" s="7"/>
      <c r="N21" s="25">
        <v>1899.7</v>
      </c>
      <c r="O21" s="7"/>
      <c r="P21" s="42">
        <v>0</v>
      </c>
      <c r="Q21" s="42"/>
      <c r="R21" s="42"/>
      <c r="S21" s="42">
        <v>0</v>
      </c>
      <c r="T21" s="42"/>
      <c r="U21" s="7"/>
      <c r="V21" s="42">
        <v>18.997</v>
      </c>
      <c r="W21" s="42"/>
      <c r="X21" s="7"/>
      <c r="Y21" s="42">
        <v>1918.6970000000001</v>
      </c>
      <c r="Z21" s="42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1"/>
    </row>
    <row r="22" spans="1:53" ht="1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1"/>
    </row>
    <row r="23" spans="1:53" ht="15" customHeight="1" x14ac:dyDescent="0.25">
      <c r="A23" s="7"/>
      <c r="B23" s="7"/>
      <c r="C23" s="43" t="s">
        <v>19</v>
      </c>
      <c r="D23" s="43"/>
      <c r="E23" s="43"/>
      <c r="F23" s="42">
        <v>243.34</v>
      </c>
      <c r="G23" s="42"/>
      <c r="H23" s="42"/>
      <c r="I23" s="7"/>
      <c r="J23" s="7"/>
      <c r="K23" s="44">
        <v>3</v>
      </c>
      <c r="L23" s="44"/>
      <c r="M23" s="7"/>
      <c r="N23" s="25">
        <v>621.87</v>
      </c>
      <c r="O23" s="7"/>
      <c r="P23" s="42">
        <v>0</v>
      </c>
      <c r="Q23" s="42"/>
      <c r="R23" s="42"/>
      <c r="S23" s="42">
        <v>0</v>
      </c>
      <c r="T23" s="42"/>
      <c r="U23" s="7"/>
      <c r="V23" s="42">
        <v>6.2187000000000001</v>
      </c>
      <c r="W23" s="42"/>
      <c r="X23" s="7"/>
      <c r="Y23" s="42">
        <v>628.08870000000002</v>
      </c>
      <c r="Z23" s="42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1"/>
    </row>
    <row r="24" spans="1:53" ht="1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1"/>
    </row>
    <row r="25" spans="1:53" ht="15" customHeight="1" x14ac:dyDescent="0.25">
      <c r="A25" s="7"/>
      <c r="B25" s="7"/>
      <c r="C25" s="43" t="s">
        <v>39</v>
      </c>
      <c r="D25" s="43"/>
      <c r="E25" s="43"/>
      <c r="F25" s="42">
        <v>1556.42</v>
      </c>
      <c r="G25" s="42"/>
      <c r="H25" s="42"/>
      <c r="I25" s="7"/>
      <c r="J25" s="7"/>
      <c r="K25" s="44">
        <v>12</v>
      </c>
      <c r="L25" s="44"/>
      <c r="M25" s="7"/>
      <c r="N25" s="25">
        <v>4238.2533000000003</v>
      </c>
      <c r="O25" s="7"/>
      <c r="P25" s="42">
        <v>0</v>
      </c>
      <c r="Q25" s="42"/>
      <c r="R25" s="42"/>
      <c r="S25" s="42">
        <v>0</v>
      </c>
      <c r="T25" s="42"/>
      <c r="U25" s="7"/>
      <c r="V25" s="42">
        <v>42.3825</v>
      </c>
      <c r="W25" s="42"/>
      <c r="X25" s="7"/>
      <c r="Y25" s="42">
        <v>4280.6358</v>
      </c>
      <c r="Z25" s="42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1"/>
    </row>
    <row r="26" spans="1:53" ht="1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1"/>
    </row>
    <row r="27" spans="1:53" ht="15" customHeight="1" x14ac:dyDescent="0.25">
      <c r="A27" s="7"/>
      <c r="B27" s="7"/>
      <c r="C27" s="43" t="s">
        <v>20</v>
      </c>
      <c r="D27" s="43"/>
      <c r="E27" s="43"/>
      <c r="F27" s="42">
        <v>0</v>
      </c>
      <c r="G27" s="42"/>
      <c r="H27" s="42"/>
      <c r="I27" s="7"/>
      <c r="J27" s="7"/>
      <c r="K27" s="44">
        <v>0</v>
      </c>
      <c r="L27" s="44"/>
      <c r="M27" s="7"/>
      <c r="N27" s="25">
        <v>59000</v>
      </c>
      <c r="O27" s="7"/>
      <c r="P27" s="42">
        <v>0</v>
      </c>
      <c r="Q27" s="42"/>
      <c r="R27" s="42"/>
      <c r="S27" s="42">
        <v>23600</v>
      </c>
      <c r="T27" s="42"/>
      <c r="U27" s="7"/>
      <c r="V27" s="42">
        <v>0</v>
      </c>
      <c r="W27" s="42"/>
      <c r="X27" s="7"/>
      <c r="Y27" s="42">
        <v>23600</v>
      </c>
      <c r="Z27" s="42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1"/>
    </row>
    <row r="28" spans="1:53" ht="1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1"/>
    </row>
    <row r="29" spans="1:53" ht="1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46">
        <v>45395.553200000002</v>
      </c>
      <c r="Z29" s="46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1"/>
    </row>
    <row r="30" spans="1:53" x14ac:dyDescent="0.25">
      <c r="A30" s="1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1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5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53" x14ac:dyDescent="0.25">
      <c r="A32" s="1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1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1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1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1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1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1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1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1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1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1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1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1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1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1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1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1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1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1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1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1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1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1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1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1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1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1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1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1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1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1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1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1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1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</sheetData>
  <mergeCells count="144">
    <mergeCell ref="Y29:Z29"/>
    <mergeCell ref="B4:D4"/>
    <mergeCell ref="B2:S2"/>
    <mergeCell ref="T2:Z2"/>
    <mergeCell ref="E4:Y4"/>
    <mergeCell ref="C7:O7"/>
    <mergeCell ref="C8:G8"/>
    <mergeCell ref="L8:P8"/>
    <mergeCell ref="C9:G9"/>
    <mergeCell ref="L9:S9"/>
    <mergeCell ref="G10:I10"/>
    <mergeCell ref="J10:M10"/>
    <mergeCell ref="O10:Q10"/>
    <mergeCell ref="S10:T10"/>
    <mergeCell ref="V10:W10"/>
    <mergeCell ref="Y10:AA10"/>
    <mergeCell ref="C13:E13"/>
    <mergeCell ref="F13:H13"/>
    <mergeCell ref="K13:L13"/>
    <mergeCell ref="P13:R13"/>
    <mergeCell ref="S13:T13"/>
    <mergeCell ref="V13:W13"/>
    <mergeCell ref="Y13:Z13"/>
    <mergeCell ref="C15:E15"/>
    <mergeCell ref="B30:M30"/>
    <mergeCell ref="O30:Z30"/>
    <mergeCell ref="B32:M32"/>
    <mergeCell ref="O32:Z32"/>
    <mergeCell ref="B34:M34"/>
    <mergeCell ref="O34:Z34"/>
    <mergeCell ref="B36:M36"/>
    <mergeCell ref="O36:Z36"/>
    <mergeCell ref="B38:M38"/>
    <mergeCell ref="O38:Z38"/>
    <mergeCell ref="B40:M40"/>
    <mergeCell ref="O40:Z40"/>
    <mergeCell ref="B42:M42"/>
    <mergeCell ref="O42:Z42"/>
    <mergeCell ref="B44:M44"/>
    <mergeCell ref="O44:Z44"/>
    <mergeCell ref="B46:M46"/>
    <mergeCell ref="O46:Z46"/>
    <mergeCell ref="B48:M48"/>
    <mergeCell ref="O48:Z48"/>
    <mergeCell ref="B74:M74"/>
    <mergeCell ref="O74:Z74"/>
    <mergeCell ref="B76:M76"/>
    <mergeCell ref="O76:Z76"/>
    <mergeCell ref="B78:M78"/>
    <mergeCell ref="O78:Z78"/>
    <mergeCell ref="B80:M80"/>
    <mergeCell ref="O80:Z80"/>
    <mergeCell ref="B50:M50"/>
    <mergeCell ref="O50:Z50"/>
    <mergeCell ref="B52:M52"/>
    <mergeCell ref="O52:Z52"/>
    <mergeCell ref="B54:M54"/>
    <mergeCell ref="O54:Z54"/>
    <mergeCell ref="B56:M56"/>
    <mergeCell ref="O56:Z56"/>
    <mergeCell ref="B58:M58"/>
    <mergeCell ref="O58:Z58"/>
    <mergeCell ref="B100:M100"/>
    <mergeCell ref="O100:Z100"/>
    <mergeCell ref="B92:M92"/>
    <mergeCell ref="O92:Z92"/>
    <mergeCell ref="B94:M94"/>
    <mergeCell ref="O94:Z94"/>
    <mergeCell ref="B96:M96"/>
    <mergeCell ref="O96:Z96"/>
    <mergeCell ref="B60:M60"/>
    <mergeCell ref="O60:Z60"/>
    <mergeCell ref="B62:M62"/>
    <mergeCell ref="O62:Z62"/>
    <mergeCell ref="B64:M64"/>
    <mergeCell ref="O64:Z64"/>
    <mergeCell ref="B66:M66"/>
    <mergeCell ref="O66:Z66"/>
    <mergeCell ref="B86:M86"/>
    <mergeCell ref="O86:Z86"/>
    <mergeCell ref="B68:M68"/>
    <mergeCell ref="O68:Z68"/>
    <mergeCell ref="B70:M70"/>
    <mergeCell ref="O70:Z70"/>
    <mergeCell ref="B72:M72"/>
    <mergeCell ref="O72:Z72"/>
    <mergeCell ref="B82:M82"/>
    <mergeCell ref="O82:Z82"/>
    <mergeCell ref="B84:M84"/>
    <mergeCell ref="O84:Z84"/>
    <mergeCell ref="B88:M88"/>
    <mergeCell ref="O88:Z88"/>
    <mergeCell ref="B90:M90"/>
    <mergeCell ref="O90:Z90"/>
    <mergeCell ref="B98:M98"/>
    <mergeCell ref="O98:Z98"/>
    <mergeCell ref="F15:H15"/>
    <mergeCell ref="K15:L15"/>
    <mergeCell ref="P15:R15"/>
    <mergeCell ref="S15:T15"/>
    <mergeCell ref="V15:W15"/>
    <mergeCell ref="Y15:Z15"/>
    <mergeCell ref="C17:E17"/>
    <mergeCell ref="F17:H17"/>
    <mergeCell ref="K17:L17"/>
    <mergeCell ref="P17:R17"/>
    <mergeCell ref="S17:T17"/>
    <mergeCell ref="V17:W17"/>
    <mergeCell ref="Y17:Z17"/>
    <mergeCell ref="C19:E19"/>
    <mergeCell ref="F19:H19"/>
    <mergeCell ref="K19:L19"/>
    <mergeCell ref="P19:R19"/>
    <mergeCell ref="S19:T19"/>
    <mergeCell ref="V19:W19"/>
    <mergeCell ref="Y19:Z19"/>
    <mergeCell ref="C21:E21"/>
    <mergeCell ref="F21:H21"/>
    <mergeCell ref="K21:L21"/>
    <mergeCell ref="P21:R21"/>
    <mergeCell ref="S21:T21"/>
    <mergeCell ref="V21:W21"/>
    <mergeCell ref="Y21:Z21"/>
    <mergeCell ref="Y27:Z27"/>
    <mergeCell ref="C23:E23"/>
    <mergeCell ref="F23:H23"/>
    <mergeCell ref="K23:L23"/>
    <mergeCell ref="P23:R23"/>
    <mergeCell ref="S23:T23"/>
    <mergeCell ref="V23:W23"/>
    <mergeCell ref="Y23:Z23"/>
    <mergeCell ref="Y25:Z25"/>
    <mergeCell ref="C25:E25"/>
    <mergeCell ref="F25:H25"/>
    <mergeCell ref="K25:L25"/>
    <mergeCell ref="P25:R25"/>
    <mergeCell ref="S25:T25"/>
    <mergeCell ref="V25:W25"/>
    <mergeCell ref="C27:E27"/>
    <mergeCell ref="F27:H27"/>
    <mergeCell ref="K27:L27"/>
    <mergeCell ref="P27:R27"/>
    <mergeCell ref="S27:T27"/>
    <mergeCell ref="V27:W2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Verbas</vt:lpstr>
      <vt:lpstr>Relatorio</vt:lpstr>
      <vt:lpstr>importação</vt:lpstr>
      <vt:lpstr>Relatorio!Area_de_impressao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Rh5</dc:creator>
  <cp:lastModifiedBy>User</cp:lastModifiedBy>
  <cp:lastPrinted>2021-08-16T19:37:45Z</cp:lastPrinted>
  <dcterms:created xsi:type="dcterms:W3CDTF">2021-08-13T11:45:11Z</dcterms:created>
  <dcterms:modified xsi:type="dcterms:W3CDTF">2022-04-20T12:49:10Z</dcterms:modified>
</cp:coreProperties>
</file>